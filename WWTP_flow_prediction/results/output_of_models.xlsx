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universityofexeteruk-my.sharepoint.com/personal/mr861_exeter_ac_uk/Documents/Desktop/model_Faf/WWTP_flow_prediction/results/"/>
    </mc:Choice>
  </mc:AlternateContent>
  <xr:revisionPtr revIDLastSave="546" documentId="11_F25DC773A252ABDACC10484C319C55345ADE58ED" xr6:coauthVersionLast="47" xr6:coauthVersionMax="47" xr10:uidLastSave="{6163A1B5-A727-4882-BFAE-76774D36EB4F}"/>
  <bookViews>
    <workbookView xWindow="-103" yWindow="-103" windowWidth="33120" windowHeight="18000" activeTab="1" xr2:uid="{00000000-000D-0000-FFFF-FFFF00000000}"/>
  </bookViews>
  <sheets>
    <sheet name="GPR-WWTP_Inflow" sheetId="1" r:id="rId1"/>
    <sheet name="GPR-CS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" l="1"/>
  <c r="N15" i="1"/>
  <c r="M14" i="1"/>
  <c r="M15" i="1"/>
  <c r="L14" i="1"/>
  <c r="L15" i="1"/>
  <c r="K14" i="1"/>
  <c r="K15" i="1"/>
  <c r="N13" i="1"/>
  <c r="N12" i="1"/>
  <c r="L13" i="1"/>
  <c r="L12" i="1"/>
  <c r="M13" i="1"/>
  <c r="K13" i="1"/>
  <c r="M12" i="1"/>
  <c r="K12" i="1"/>
  <c r="I12" i="1"/>
  <c r="G12" i="1"/>
  <c r="E12" i="1"/>
  <c r="C12" i="1"/>
  <c r="H12" i="1"/>
  <c r="F12" i="1"/>
  <c r="D12" i="1"/>
  <c r="B12" i="1"/>
</calcChain>
</file>

<file path=xl/sharedStrings.xml><?xml version="1.0" encoding="utf-8"?>
<sst xmlns="http://schemas.openxmlformats.org/spreadsheetml/2006/main" count="59" uniqueCount="19">
  <si>
    <t xml:space="preserve">model </t>
  </si>
  <si>
    <t>date</t>
  </si>
  <si>
    <t>Entropy</t>
  </si>
  <si>
    <t xml:space="preserve">naïve </t>
  </si>
  <si>
    <t>lag (min)</t>
  </si>
  <si>
    <t>Cov %</t>
  </si>
  <si>
    <t>RMSE (l/s)</t>
  </si>
  <si>
    <t>MAE (l/s)</t>
  </si>
  <si>
    <t>designed kernel</t>
  </si>
  <si>
    <t>mean</t>
  </si>
  <si>
    <t>1 to 12 hours</t>
  </si>
  <si>
    <t xml:space="preserve">1 to 8 hours </t>
  </si>
  <si>
    <t>constraints</t>
  </si>
  <si>
    <t>Sparsification</t>
  </si>
  <si>
    <t>SGPR_constraint</t>
  </si>
  <si>
    <t>Inducing points:</t>
  </si>
  <si>
    <t>execution time (s)</t>
  </si>
  <si>
    <t>% improvement of RMSE</t>
  </si>
  <si>
    <t>only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</si>
</sst>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Centaur"/>
      <family val="1"/>
    </font>
    <font>
      <sz val="14"/>
      <color theme="1"/>
      <name val="Centaur"/>
      <family val="1"/>
    </font>
    <font>
      <i/>
      <sz val="14"/>
      <color theme="1"/>
      <name val="Centaur"/>
      <family val="1"/>
    </font>
    <font>
      <b/>
      <sz val="14"/>
      <color rgb="FFFF0000"/>
      <name val="Centaur"/>
      <family val="1"/>
    </font>
    <font>
      <sz val="14"/>
      <color rgb="FFFF0000"/>
      <name val="Centaur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"/>
  <sheetViews>
    <sheetView workbookViewId="0">
      <selection activeCell="L3" sqref="L3"/>
    </sheetView>
  </sheetViews>
  <sheetFormatPr defaultRowHeight="18.45" x14ac:dyDescent="0.4"/>
  <cols>
    <col min="1" max="1" width="18.3828125" style="1" customWidth="1"/>
    <col min="2" max="2" width="15.07421875" style="2" customWidth="1"/>
    <col min="3" max="3" width="16.69140625" style="2" customWidth="1"/>
    <col min="4" max="4" width="17.84375" style="2" customWidth="1"/>
    <col min="5" max="5" width="16.61328125" style="2" customWidth="1"/>
    <col min="6" max="7" width="15.765625" style="2" customWidth="1"/>
    <col min="8" max="8" width="14.23046875" style="2" customWidth="1"/>
    <col min="9" max="9" width="15" style="2" customWidth="1"/>
    <col min="10" max="10" width="17" style="2" customWidth="1"/>
    <col min="11" max="11" width="19.84375" style="2" customWidth="1"/>
    <col min="12" max="13" width="19.3046875" style="2" customWidth="1"/>
    <col min="14" max="14" width="18.4609375" style="2" customWidth="1"/>
    <col min="15" max="16384" width="9.23046875" style="2"/>
  </cols>
  <sheetData>
    <row r="1" spans="1:14" s="1" customFormat="1" x14ac:dyDescent="0.4">
      <c r="A1" s="1" t="s">
        <v>0</v>
      </c>
      <c r="B1" s="1" t="s">
        <v>3</v>
      </c>
      <c r="C1" s="1" t="s">
        <v>3</v>
      </c>
      <c r="D1" s="1" t="s">
        <v>8</v>
      </c>
      <c r="E1" s="1" t="s">
        <v>8</v>
      </c>
      <c r="F1" s="1" t="s">
        <v>9</v>
      </c>
      <c r="G1" s="1" t="s">
        <v>9</v>
      </c>
      <c r="H1" s="1" t="s">
        <v>12</v>
      </c>
      <c r="I1" s="1" t="s">
        <v>12</v>
      </c>
      <c r="J1" s="4" t="s">
        <v>13</v>
      </c>
      <c r="K1" s="1" t="s">
        <v>14</v>
      </c>
      <c r="L1" s="1" t="s">
        <v>14</v>
      </c>
      <c r="M1" s="1" t="s">
        <v>14</v>
      </c>
      <c r="N1" s="1" t="s">
        <v>14</v>
      </c>
    </row>
    <row r="2" spans="1:14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3">
        <v>2021</v>
      </c>
      <c r="J2" s="3"/>
      <c r="K2" s="3">
        <v>2019</v>
      </c>
      <c r="L2" s="2">
        <v>2021</v>
      </c>
      <c r="M2" s="3">
        <v>2019</v>
      </c>
      <c r="N2" s="2">
        <v>2021</v>
      </c>
    </row>
    <row r="3" spans="1:14" x14ac:dyDescent="0.4">
      <c r="A3" s="1" t="s">
        <v>6</v>
      </c>
      <c r="B3" s="2">
        <v>34.298999999999999</v>
      </c>
      <c r="C3" s="2">
        <v>41.749000000000002</v>
      </c>
      <c r="D3" s="2">
        <v>25.812999999999999</v>
      </c>
      <c r="E3" s="2">
        <v>32.119999999999997</v>
      </c>
      <c r="F3" s="2">
        <v>25.654</v>
      </c>
      <c r="G3" s="2">
        <v>33.387999999999998</v>
      </c>
      <c r="H3" s="2">
        <v>25.568000000000001</v>
      </c>
      <c r="I3" s="2">
        <v>29.975000000000001</v>
      </c>
      <c r="K3" s="2">
        <v>25.905000000000001</v>
      </c>
      <c r="L3" s="2">
        <v>31.143000000000001</v>
      </c>
      <c r="M3" s="2">
        <v>25.712</v>
      </c>
      <c r="N3" s="2">
        <v>31.068999999999999</v>
      </c>
    </row>
    <row r="4" spans="1:14" x14ac:dyDescent="0.4">
      <c r="A4" s="1" t="s">
        <v>7</v>
      </c>
      <c r="B4" s="2">
        <v>24.901</v>
      </c>
      <c r="C4" s="2">
        <v>27.161000000000001</v>
      </c>
      <c r="D4" s="2">
        <v>17.396999999999998</v>
      </c>
      <c r="E4" s="2">
        <v>20.096</v>
      </c>
      <c r="F4" s="2">
        <v>17.672000000000001</v>
      </c>
      <c r="G4" s="2">
        <v>19.23</v>
      </c>
      <c r="H4" s="2">
        <v>17.63</v>
      </c>
      <c r="I4" s="2">
        <v>18.036999999999999</v>
      </c>
      <c r="K4" s="2">
        <v>17.88</v>
      </c>
      <c r="L4" s="2">
        <v>17.771999999999998</v>
      </c>
      <c r="M4" s="2">
        <v>17.704999999999998</v>
      </c>
      <c r="N4" s="2">
        <v>23.721</v>
      </c>
    </row>
    <row r="5" spans="1:14" x14ac:dyDescent="0.4">
      <c r="A5" s="1" t="s">
        <v>5</v>
      </c>
      <c r="B5" s="2">
        <v>99.17</v>
      </c>
      <c r="C5" s="2">
        <v>100</v>
      </c>
      <c r="D5" s="2">
        <v>92.516000000000005</v>
      </c>
      <c r="E5" s="2">
        <v>88.15</v>
      </c>
      <c r="F5" s="2">
        <v>93.346999999999994</v>
      </c>
      <c r="G5" s="2">
        <v>88.15</v>
      </c>
      <c r="H5" s="2">
        <v>92.93</v>
      </c>
      <c r="I5" s="2">
        <v>87.94</v>
      </c>
      <c r="K5" s="2">
        <v>94.59</v>
      </c>
      <c r="L5" s="2">
        <v>87.11</v>
      </c>
      <c r="M5" s="2">
        <v>96.67</v>
      </c>
      <c r="N5" s="2">
        <v>94.8</v>
      </c>
    </row>
    <row r="6" spans="1:14" x14ac:dyDescent="0.4">
      <c r="A6" s="1" t="s">
        <v>2</v>
      </c>
      <c r="B6" s="2">
        <v>7.6116000000000001</v>
      </c>
      <c r="C6" s="2">
        <v>8.0631000000000004</v>
      </c>
      <c r="D6" s="2">
        <v>6.5944000000000003</v>
      </c>
      <c r="E6" s="2">
        <v>6.2887000000000004</v>
      </c>
      <c r="F6" s="2">
        <v>6.6723999999999997</v>
      </c>
      <c r="G6" s="2">
        <v>6.2664</v>
      </c>
      <c r="H6" s="2">
        <v>6.6215000000000002</v>
      </c>
      <c r="I6" s="2">
        <v>6.1558999999999999</v>
      </c>
      <c r="K6" s="2">
        <v>6.78</v>
      </c>
      <c r="L6" s="2">
        <v>6.2442000000000002</v>
      </c>
      <c r="M6" s="2">
        <v>7.2089999999999996</v>
      </c>
      <c r="N6" s="2">
        <v>7.2149999999999999</v>
      </c>
    </row>
    <row r="8" spans="1:14" x14ac:dyDescent="0.4">
      <c r="A8" s="1" t="s">
        <v>4</v>
      </c>
      <c r="B8" s="2">
        <v>120</v>
      </c>
      <c r="C8" s="2">
        <v>120</v>
      </c>
      <c r="D8" s="2">
        <v>120</v>
      </c>
      <c r="E8" s="2">
        <v>120</v>
      </c>
      <c r="F8" s="2">
        <v>120</v>
      </c>
      <c r="G8" s="2">
        <v>120</v>
      </c>
      <c r="H8" s="2">
        <v>120</v>
      </c>
      <c r="I8" s="2">
        <v>120</v>
      </c>
      <c r="J8" s="5" t="s">
        <v>15</v>
      </c>
      <c r="K8" s="3">
        <v>100</v>
      </c>
      <c r="L8" s="3">
        <v>100</v>
      </c>
      <c r="M8" s="3">
        <v>500</v>
      </c>
      <c r="N8" s="3">
        <v>500</v>
      </c>
    </row>
    <row r="9" spans="1:14" x14ac:dyDescent="0.4">
      <c r="A9" s="5" t="s">
        <v>16</v>
      </c>
      <c r="H9" s="2">
        <v>220</v>
      </c>
      <c r="I9" s="2">
        <v>246</v>
      </c>
      <c r="J9" s="5" t="s">
        <v>16</v>
      </c>
      <c r="K9" s="2">
        <v>18</v>
      </c>
      <c r="L9" s="2">
        <v>22</v>
      </c>
      <c r="M9" s="2">
        <v>268</v>
      </c>
      <c r="N9" s="2">
        <v>319</v>
      </c>
    </row>
    <row r="10" spans="1:14" x14ac:dyDescent="0.4">
      <c r="F10" s="2" t="s">
        <v>10</v>
      </c>
      <c r="G10" s="2" t="s">
        <v>11</v>
      </c>
      <c r="H10" s="2" t="s">
        <v>10</v>
      </c>
      <c r="I10" s="2" t="s">
        <v>11</v>
      </c>
    </row>
    <row r="12" spans="1:14" ht="36.9" x14ac:dyDescent="0.4">
      <c r="A12" s="6" t="s">
        <v>17</v>
      </c>
      <c r="B12" s="2">
        <f>-100*(B3 - $B3)/$B3</f>
        <v>0</v>
      </c>
      <c r="C12" s="2">
        <f>-100*(C3 - $C3)/$C3</f>
        <v>0</v>
      </c>
      <c r="D12" s="2">
        <f>-100*(D3 - $B3)/$B3</f>
        <v>24.741246100469404</v>
      </c>
      <c r="E12" s="2">
        <f>-100*(E3 - $C3)/$C3</f>
        <v>23.064025485640386</v>
      </c>
      <c r="F12" s="2">
        <f>-100*(F3 - $B3)/$B3</f>
        <v>25.204816466952391</v>
      </c>
      <c r="G12" s="2">
        <f>-100*(G3 - $C3)/$C3</f>
        <v>20.026826989868027</v>
      </c>
      <c r="H12" s="2">
        <f>-100*(H3 - $B3)/$B3</f>
        <v>25.455552640018652</v>
      </c>
      <c r="I12" s="2">
        <f>-100*(I3 - $C3)/$C3</f>
        <v>28.201873098756856</v>
      </c>
      <c r="K12" s="2">
        <f>-100*(K3 - $H3)/$H3</f>
        <v>-1.3180538172715883</v>
      </c>
      <c r="L12" s="2">
        <f>-100*(L3 - $I3)/$I3</f>
        <v>-3.8965804837364444</v>
      </c>
      <c r="M12" s="2">
        <f>-100*(M3 - $H3)/$H3</f>
        <v>-0.56320400500625134</v>
      </c>
      <c r="N12" s="2">
        <f>-100*(N3 - $I3)/$I3</f>
        <v>-3.6497080900750545</v>
      </c>
    </row>
    <row r="13" spans="1:14" x14ac:dyDescent="0.4">
      <c r="K13" s="2">
        <f>-100*(K4 - $H4)/$H4</f>
        <v>-1.4180374361883155</v>
      </c>
      <c r="L13" s="2">
        <f>-100*(L4 - $I4)/$I4</f>
        <v>1.4692021954870575</v>
      </c>
      <c r="M13" s="2">
        <f>-100*(M4 - $H4)/$H4</f>
        <v>-0.42541123085649063</v>
      </c>
      <c r="N13" s="2">
        <f>-100*(N4 - $I4)/$I4</f>
        <v>-31.513001053390258</v>
      </c>
    </row>
    <row r="14" spans="1:14" x14ac:dyDescent="0.4">
      <c r="K14" s="2">
        <f t="shared" ref="K14:K15" si="0">-100*(K5 - $H5)/$H5</f>
        <v>-1.7862907564833708</v>
      </c>
      <c r="L14" s="2">
        <f t="shared" ref="L14:L15" si="1">-100*(L5 - $I5)/$I5</f>
        <v>0.94382533545599079</v>
      </c>
      <c r="M14" s="2">
        <f t="shared" ref="M14:M15" si="2">-100*(M5 - $H5)/$H5</f>
        <v>-4.0245345959324164</v>
      </c>
      <c r="N14" s="2">
        <f t="shared" ref="N14:N15" si="3">-100*(N5 - $I5)/$I5</f>
        <v>-7.8007732544916992</v>
      </c>
    </row>
    <row r="15" spans="1:14" x14ac:dyDescent="0.4">
      <c r="D15" s="1" t="s">
        <v>18</v>
      </c>
      <c r="E15" s="1" t="s">
        <v>18</v>
      </c>
      <c r="K15" s="2">
        <f t="shared" si="0"/>
        <v>-2.3937174356263697</v>
      </c>
      <c r="L15" s="2">
        <f t="shared" si="1"/>
        <v>-1.4343962702448101</v>
      </c>
      <c r="M15" s="2">
        <f t="shared" si="2"/>
        <v>-8.8726119459336914</v>
      </c>
      <c r="N15" s="2">
        <f t="shared" si="3"/>
        <v>-17.204632953751684</v>
      </c>
    </row>
    <row r="16" spans="1:14" x14ac:dyDescent="0.4">
      <c r="C16" s="1" t="s">
        <v>1</v>
      </c>
      <c r="D16" s="3">
        <v>2019</v>
      </c>
      <c r="E16" s="3">
        <v>2021</v>
      </c>
    </row>
    <row r="17" spans="3:5" x14ac:dyDescent="0.4">
      <c r="C17" s="1" t="s">
        <v>6</v>
      </c>
      <c r="D17" s="2">
        <v>36.555999999999997</v>
      </c>
      <c r="E17" s="2">
        <v>43.106999999999999</v>
      </c>
    </row>
    <row r="18" spans="3:5" x14ac:dyDescent="0.4">
      <c r="C18" s="1" t="s">
        <v>7</v>
      </c>
      <c r="D18" s="2">
        <v>26.021999999999998</v>
      </c>
      <c r="E18" s="2">
        <v>24.707999999999998</v>
      </c>
    </row>
    <row r="19" spans="3:5" x14ac:dyDescent="0.4">
      <c r="C19" s="1" t="s">
        <v>5</v>
      </c>
      <c r="D19" s="2">
        <v>99.38</v>
      </c>
      <c r="E19" s="2">
        <v>100</v>
      </c>
    </row>
    <row r="20" spans="3:5" x14ac:dyDescent="0.4">
      <c r="C20" s="1" t="s">
        <v>2</v>
      </c>
      <c r="D20" s="2">
        <v>7.6742999999999997</v>
      </c>
      <c r="E20" s="2">
        <v>8.1008999999999993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3AD0-BD79-4D6A-B13C-DB02488FEFDA}">
  <dimension ref="A1:N12"/>
  <sheetViews>
    <sheetView tabSelected="1" workbookViewId="0">
      <selection activeCell="K14" sqref="K14"/>
    </sheetView>
  </sheetViews>
  <sheetFormatPr defaultRowHeight="18.45" x14ac:dyDescent="0.4"/>
  <cols>
    <col min="1" max="1" width="18.3828125" style="1" customWidth="1"/>
    <col min="2" max="2" width="15.07421875" style="2" customWidth="1"/>
    <col min="3" max="3" width="16.69140625" style="2" customWidth="1"/>
    <col min="4" max="4" width="17.84375" style="2" customWidth="1"/>
    <col min="5" max="5" width="16.61328125" style="2" customWidth="1"/>
    <col min="6" max="7" width="15.765625" style="2" customWidth="1"/>
    <col min="8" max="8" width="14.23046875" style="2" customWidth="1"/>
    <col min="9" max="9" width="15" style="2" customWidth="1"/>
    <col min="10" max="10" width="17" style="2" customWidth="1"/>
    <col min="11" max="11" width="19.84375" style="2" customWidth="1"/>
    <col min="12" max="13" width="19.3046875" style="2" customWidth="1"/>
    <col min="14" max="14" width="18.4609375" style="2" customWidth="1"/>
    <col min="15" max="16384" width="9.23046875" style="2"/>
  </cols>
  <sheetData>
    <row r="1" spans="1:14" s="1" customFormat="1" x14ac:dyDescent="0.4">
      <c r="A1" s="1" t="s">
        <v>0</v>
      </c>
      <c r="B1" s="1" t="s">
        <v>3</v>
      </c>
      <c r="C1" s="1" t="s">
        <v>3</v>
      </c>
      <c r="D1" s="1" t="s">
        <v>8</v>
      </c>
      <c r="E1" s="1" t="s">
        <v>8</v>
      </c>
      <c r="F1" s="1" t="s">
        <v>9</v>
      </c>
      <c r="G1" s="1" t="s">
        <v>9</v>
      </c>
      <c r="H1" s="1" t="s">
        <v>12</v>
      </c>
      <c r="I1" s="1" t="s">
        <v>12</v>
      </c>
      <c r="J1" s="4" t="s">
        <v>13</v>
      </c>
      <c r="K1" s="1" t="s">
        <v>14</v>
      </c>
      <c r="L1" s="1" t="s">
        <v>14</v>
      </c>
      <c r="M1" s="1" t="s">
        <v>14</v>
      </c>
      <c r="N1" s="1" t="s">
        <v>14</v>
      </c>
    </row>
    <row r="2" spans="1:14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3">
        <v>2021</v>
      </c>
      <c r="J2" s="3"/>
      <c r="K2" s="3">
        <v>2019</v>
      </c>
      <c r="L2" s="2">
        <v>2021</v>
      </c>
      <c r="M2" s="3">
        <v>2019</v>
      </c>
      <c r="N2" s="2">
        <v>2021</v>
      </c>
    </row>
    <row r="3" spans="1:14" x14ac:dyDescent="0.4">
      <c r="A3" s="1" t="s">
        <v>6</v>
      </c>
    </row>
    <row r="4" spans="1:14" x14ac:dyDescent="0.4">
      <c r="A4" s="1" t="s">
        <v>7</v>
      </c>
    </row>
    <row r="5" spans="1:14" x14ac:dyDescent="0.4">
      <c r="A5" s="1" t="s">
        <v>5</v>
      </c>
    </row>
    <row r="6" spans="1:14" x14ac:dyDescent="0.4">
      <c r="A6" s="1" t="s">
        <v>2</v>
      </c>
    </row>
    <row r="8" spans="1:14" x14ac:dyDescent="0.4">
      <c r="A8" s="1" t="s">
        <v>4</v>
      </c>
      <c r="J8" s="5" t="s">
        <v>15</v>
      </c>
      <c r="K8" s="3"/>
      <c r="L8" s="3"/>
      <c r="M8" s="3"/>
      <c r="N8" s="3"/>
    </row>
    <row r="9" spans="1:14" x14ac:dyDescent="0.4">
      <c r="A9" s="5" t="s">
        <v>16</v>
      </c>
      <c r="J9" s="5" t="s">
        <v>16</v>
      </c>
    </row>
    <row r="12" spans="1:14" ht="36.9" x14ac:dyDescent="0.4">
      <c r="A12" s="6" t="s">
        <v>17</v>
      </c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912a5d77-fb98-4eee-af32-1334d8f04a53}" enabled="0" method="" siteId="{912a5d77-fb98-4eee-af32-1334d8f04a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GPR-WWTP_Inflow</vt:lpstr>
      <vt:lpstr>GPR-CSO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Rezaee, Mohsen</dc:creator>
  <cp:lastModifiedBy>Rezaee, Mohsen</cp:lastModifiedBy>
  <dcterms:created xsi:type="dcterms:W3CDTF">2015-06-05T18:17:20Z</dcterms:created>
  <dcterms:modified xsi:type="dcterms:W3CDTF">2026-06-22T17:12:41Z</dcterms:modified>
</cp:coreProperties>
</file>