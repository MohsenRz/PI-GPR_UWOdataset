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https://universityofexeteruk-my.sharepoint.com/personal/mr861_exeter_ac_uk/Documents/Desktop/model_Faf/CSO_prediction/constrained_data_driven_prediction/sensitivity_analysis/"/>
    </mc:Choice>
  </mc:AlternateContent>
  <xr:revisionPtr revIDLastSave="109" documentId="11_F25DC773A252ABDACC10484C319C55345ADE58ED" xr6:coauthVersionLast="47" xr6:coauthVersionMax="47" xr10:uidLastSave="{42B708A8-C6AF-4858-8FF8-DC0348961BA6}"/>
  <bookViews>
    <workbookView xWindow="-103" yWindow="-103" windowWidth="33120" windowHeight="18000" activeTab="1" xr2:uid="{00000000-000D-0000-FFFF-FFFF00000000}"/>
  </bookViews>
  <sheets>
    <sheet name="numberM" sheetId="1" r:id="rId1"/>
    <sheet name="%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" i="1" l="1"/>
  <c r="H8" i="1"/>
  <c r="H7" i="1"/>
  <c r="H6" i="1"/>
  <c r="H5" i="1"/>
  <c r="H4" i="1"/>
  <c r="H3" i="1"/>
  <c r="H2" i="1"/>
  <c r="C3" i="1"/>
  <c r="C4" i="1"/>
  <c r="C5" i="1"/>
  <c r="C6" i="1"/>
  <c r="C7" i="1"/>
  <c r="C8" i="1"/>
  <c r="C9" i="1"/>
  <c r="C2" i="1"/>
</calcChain>
</file>

<file path=xl/sharedStrings.xml><?xml version="1.0" encoding="utf-8"?>
<sst xmlns="http://schemas.openxmlformats.org/spreadsheetml/2006/main" count="40" uniqueCount="19">
  <si>
    <t>M</t>
  </si>
  <si>
    <t>Test_RMSE</t>
  </si>
  <si>
    <t>M2</t>
  </si>
  <si>
    <t>%</t>
  </si>
  <si>
    <t>RMSE</t>
  </si>
  <si>
    <t>CSO_prediction?</t>
  </si>
  <si>
    <t>50-50</t>
  </si>
  <si>
    <t>year</t>
  </si>
  <si>
    <t>75-25</t>
  </si>
  <si>
    <t>75% CSO</t>
  </si>
  <si>
    <t>25-75</t>
  </si>
  <si>
    <t>small CSOs (false)</t>
  </si>
  <si>
    <t>25% CSO</t>
  </si>
  <si>
    <t xml:space="preserve">yes - but smaller than reality </t>
  </si>
  <si>
    <t xml:space="preserve">yes - a bit smaller then reality </t>
  </si>
  <si>
    <t>90-10</t>
  </si>
  <si>
    <t>80-20</t>
  </si>
  <si>
    <t>70-30</t>
  </si>
  <si>
    <t>length (days)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</si>
</sst>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2019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"RMSE2019"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numberM!$A$2:$A$9</c:f>
              <c:numCache>
                <c:formatCode>General</c:formatCode>
                <c:ptCount val="8"/>
                <c:pt idx="0">
                  <c:v>50</c:v>
                </c:pt>
                <c:pt idx="1">
                  <c:v>75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300</c:v>
                </c:pt>
                <c:pt idx="6">
                  <c:v>400</c:v>
                </c:pt>
                <c:pt idx="7">
                  <c:v>500</c:v>
                </c:pt>
              </c:numCache>
            </c:numRef>
          </c:cat>
          <c:val>
            <c:numRef>
              <c:f>numberM!$B$2:$B$9</c:f>
              <c:numCache>
                <c:formatCode>General</c:formatCode>
                <c:ptCount val="8"/>
                <c:pt idx="0">
                  <c:v>26.998677040070501</c:v>
                </c:pt>
                <c:pt idx="1">
                  <c:v>48.739634333017698</c:v>
                </c:pt>
                <c:pt idx="2">
                  <c:v>48.280607226027598</c:v>
                </c:pt>
                <c:pt idx="3">
                  <c:v>47.902290507663203</c:v>
                </c:pt>
                <c:pt idx="4">
                  <c:v>76.3533183545767</c:v>
                </c:pt>
                <c:pt idx="5">
                  <c:v>84.273969172477706</c:v>
                </c:pt>
                <c:pt idx="6">
                  <c:v>75.459914185922798</c:v>
                </c:pt>
                <c:pt idx="7">
                  <c:v>85.879239494010307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629-4E22-85DB-47AECB39B8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42809168"/>
        <c:axId val="1242822128"/>
      </c:barChart>
      <c:lineChart>
        <c:grouping val="standard"/>
        <c:varyColors val="0"/>
        <c:ser>
          <c:idx val="1"/>
          <c:order val="1"/>
          <c:tx>
            <c:strRef>
              <c:f>numberM!$C$1</c:f>
              <c:strCache>
                <c:ptCount val="1"/>
                <c:pt idx="0">
                  <c:v>M2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numberM!$A$2:$A$9</c:f>
              <c:numCache>
                <c:formatCode>General</c:formatCode>
                <c:ptCount val="8"/>
                <c:pt idx="0">
                  <c:v>50</c:v>
                </c:pt>
                <c:pt idx="1">
                  <c:v>75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300</c:v>
                </c:pt>
                <c:pt idx="6">
                  <c:v>400</c:v>
                </c:pt>
                <c:pt idx="7">
                  <c:v>500</c:v>
                </c:pt>
              </c:numCache>
            </c:numRef>
          </c:cat>
          <c:val>
            <c:numRef>
              <c:f>numberM!$C$2:$C$9</c:f>
              <c:numCache>
                <c:formatCode>General</c:formatCode>
                <c:ptCount val="8"/>
                <c:pt idx="0">
                  <c:v>2500</c:v>
                </c:pt>
                <c:pt idx="1">
                  <c:v>5625</c:v>
                </c:pt>
                <c:pt idx="2">
                  <c:v>10000</c:v>
                </c:pt>
                <c:pt idx="3">
                  <c:v>22500</c:v>
                </c:pt>
                <c:pt idx="4">
                  <c:v>40000</c:v>
                </c:pt>
                <c:pt idx="5">
                  <c:v>90000</c:v>
                </c:pt>
                <c:pt idx="6">
                  <c:v>160000</c:v>
                </c:pt>
                <c:pt idx="7">
                  <c:v>250000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629-4E22-85DB-47AECB39B8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99018272"/>
        <c:axId val="1899018752"/>
      </c:lineChart>
      <c:catAx>
        <c:axId val="18990182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9018752"/>
        <c:crosses val="autoZero"/>
        <c:auto val="0"/>
        <c:lblAlgn val="ctr"/>
        <c:lblOffset val="100"/>
        <c:noMultiLvlLbl val="0"/>
      </c:catAx>
      <c:valAx>
        <c:axId val="1899018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9018272"/>
        <c:crosses val="autoZero"/>
        <c:crossBetween val="between"/>
      </c:valAx>
      <c:valAx>
        <c:axId val="1242822128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2809168"/>
        <c:crosses val="max"/>
        <c:crossBetween val="between"/>
      </c:valAx>
      <c:catAx>
        <c:axId val="124280916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428221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2021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"RMSE2021"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numberM!$A$2:$A$9</c:f>
              <c:numCache>
                <c:formatCode>General</c:formatCode>
                <c:ptCount val="8"/>
                <c:pt idx="0">
                  <c:v>50</c:v>
                </c:pt>
                <c:pt idx="1">
                  <c:v>75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300</c:v>
                </c:pt>
                <c:pt idx="6">
                  <c:v>400</c:v>
                </c:pt>
                <c:pt idx="7">
                  <c:v>500</c:v>
                </c:pt>
              </c:numCache>
            </c:numRef>
          </c:cat>
          <c:val>
            <c:numRef>
              <c:f>numberM!$G$2:$G$9</c:f>
              <c:numCache>
                <c:formatCode>General</c:formatCode>
                <c:ptCount val="8"/>
                <c:pt idx="0">
                  <c:v>94.568793684778598</c:v>
                </c:pt>
                <c:pt idx="1">
                  <c:v>89.453556225316404</c:v>
                </c:pt>
                <c:pt idx="2">
                  <c:v>92.680194594598802</c:v>
                </c:pt>
                <c:pt idx="3">
                  <c:v>91.753772183415506</c:v>
                </c:pt>
                <c:pt idx="4">
                  <c:v>91.434313964490798</c:v>
                </c:pt>
                <c:pt idx="5">
                  <c:v>88.034653907000404</c:v>
                </c:pt>
                <c:pt idx="6">
                  <c:v>90.101934859887507</c:v>
                </c:pt>
                <c:pt idx="7">
                  <c:v>89.822333166709001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AD-4A7E-B258-6406E41BE0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42809168"/>
        <c:axId val="1242822128"/>
      </c:barChart>
      <c:lineChart>
        <c:grouping val="standard"/>
        <c:varyColors val="0"/>
        <c:ser>
          <c:idx val="1"/>
          <c:order val="1"/>
          <c:tx>
            <c:strRef>
              <c:f>numberM!$C$1</c:f>
              <c:strCache>
                <c:ptCount val="1"/>
                <c:pt idx="0">
                  <c:v>M2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numberM!$A$2:$A$9</c:f>
              <c:numCache>
                <c:formatCode>General</c:formatCode>
                <c:ptCount val="8"/>
                <c:pt idx="0">
                  <c:v>50</c:v>
                </c:pt>
                <c:pt idx="1">
                  <c:v>75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300</c:v>
                </c:pt>
                <c:pt idx="6">
                  <c:v>400</c:v>
                </c:pt>
                <c:pt idx="7">
                  <c:v>500</c:v>
                </c:pt>
              </c:numCache>
            </c:numRef>
          </c:cat>
          <c:val>
            <c:numRef>
              <c:f>numberM!$C$2:$C$9</c:f>
              <c:numCache>
                <c:formatCode>General</c:formatCode>
                <c:ptCount val="8"/>
                <c:pt idx="0">
                  <c:v>2500</c:v>
                </c:pt>
                <c:pt idx="1">
                  <c:v>5625</c:v>
                </c:pt>
                <c:pt idx="2">
                  <c:v>10000</c:v>
                </c:pt>
                <c:pt idx="3">
                  <c:v>22500</c:v>
                </c:pt>
                <c:pt idx="4">
                  <c:v>40000</c:v>
                </c:pt>
                <c:pt idx="5">
                  <c:v>90000</c:v>
                </c:pt>
                <c:pt idx="6">
                  <c:v>160000</c:v>
                </c:pt>
                <c:pt idx="7">
                  <c:v>250000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0AD-4A7E-B258-6406E41BE0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99018272"/>
        <c:axId val="1899018752"/>
      </c:lineChart>
      <c:catAx>
        <c:axId val="18990182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9018752"/>
        <c:crosses val="autoZero"/>
        <c:auto val="0"/>
        <c:lblAlgn val="ctr"/>
        <c:lblOffset val="100"/>
        <c:noMultiLvlLbl val="0"/>
      </c:catAx>
      <c:valAx>
        <c:axId val="1899018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9018272"/>
        <c:crosses val="autoZero"/>
        <c:crossBetween val="between"/>
      </c:valAx>
      <c:valAx>
        <c:axId val="1242822128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2809168"/>
        <c:crosses val="max"/>
        <c:crossBetween val="between"/>
      </c:valAx>
      <c:catAx>
        <c:axId val="124280916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428221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377734</xdr:colOff>
      <xdr:row>12</xdr:row>
      <xdr:rowOff>93073</xdr:rowOff>
    </xdr:from>
    <xdr:to>
      <xdr:col>6</xdr:col>
      <xdr:colOff>758734</xdr:colOff>
      <xdr:row>27</xdr:row>
      <xdr:rowOff>93073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2409720-8192-1614-83A7-12F09FCC34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426720</xdr:colOff>
      <xdr:row>10</xdr:row>
      <xdr:rowOff>106680</xdr:rowOff>
    </xdr:from>
    <xdr:to>
      <xdr:col>16</xdr:col>
      <xdr:colOff>121920</xdr:colOff>
      <xdr:row>25</xdr:row>
      <xdr:rowOff>106680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CDB4EF7-FD33-495A-931C-DEB12FAD4A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1"/>
  <sheetViews>
    <sheetView workbookViewId="0">
      <selection activeCell="G7" sqref="G7"/>
    </sheetView>
  </sheetViews>
  <sheetFormatPr defaultColWidth="8.84375" defaultRowHeight="14.6" x14ac:dyDescent="0.4"/>
  <cols>
    <col min="1" max="1" width="8.84375" style="1"/>
    <col min="2" max="2" width="16.69140625" style="1" customWidth="1"/>
    <col min="3" max="6" width="8.84375" style="1"/>
    <col min="7" max="7" width="16" style="1" customWidth="1"/>
    <col min="8" max="16384" width="8.84375" style="1"/>
  </cols>
  <sheetData>
    <row r="1" spans="1:8" x14ac:dyDescent="0.4">
      <c r="A1" s="1" t="s">
        <v>0</v>
      </c>
      <c r="B1" s="1" t="s">
        <v>1</v>
      </c>
      <c r="C1" s="1" t="s">
        <v>2</v>
      </c>
      <c r="F1" s="1" t="s">
        <v>0</v>
      </c>
      <c r="G1" s="1" t="s">
        <v>1</v>
      </c>
      <c r="H1" s="1" t="s">
        <v>2</v>
      </c>
    </row>
    <row r="2" spans="1:8" x14ac:dyDescent="0.4">
      <c r="A2" s="1">
        <v>50</v>
      </c>
      <c r="B2">
        <v>26.998677040070501</v>
      </c>
      <c r="C2" s="1">
        <f>A2^2</f>
        <v>2500</v>
      </c>
      <c r="F2" s="1">
        <v>50</v>
      </c>
      <c r="G2">
        <v>94.568793684778598</v>
      </c>
      <c r="H2" s="1">
        <f>F2^2</f>
        <v>2500</v>
      </c>
    </row>
    <row r="3" spans="1:8" x14ac:dyDescent="0.4">
      <c r="A3" s="1">
        <v>75</v>
      </c>
      <c r="B3">
        <v>48.739634333017698</v>
      </c>
      <c r="C3" s="1">
        <f t="shared" ref="C3:C9" si="0">A3^2</f>
        <v>5625</v>
      </c>
      <c r="F3" s="1">
        <v>75</v>
      </c>
      <c r="G3">
        <v>89.453556225316404</v>
      </c>
      <c r="H3" s="1">
        <f t="shared" ref="H3:H9" si="1">F3^2</f>
        <v>5625</v>
      </c>
    </row>
    <row r="4" spans="1:8" x14ac:dyDescent="0.4">
      <c r="A4" s="1">
        <v>100</v>
      </c>
      <c r="B4">
        <v>48.280607226027598</v>
      </c>
      <c r="C4" s="1">
        <f t="shared" si="0"/>
        <v>10000</v>
      </c>
      <c r="F4" s="1">
        <v>100</v>
      </c>
      <c r="G4">
        <v>92.680194594598802</v>
      </c>
      <c r="H4" s="1">
        <f t="shared" si="1"/>
        <v>10000</v>
      </c>
    </row>
    <row r="5" spans="1:8" x14ac:dyDescent="0.4">
      <c r="A5" s="1">
        <v>150</v>
      </c>
      <c r="B5">
        <v>47.902290507663203</v>
      </c>
      <c r="C5" s="1">
        <f t="shared" si="0"/>
        <v>22500</v>
      </c>
      <c r="F5" s="1">
        <v>150</v>
      </c>
      <c r="G5">
        <v>91.753772183415506</v>
      </c>
      <c r="H5" s="1">
        <f t="shared" si="1"/>
        <v>22500</v>
      </c>
    </row>
    <row r="6" spans="1:8" x14ac:dyDescent="0.4">
      <c r="A6" s="1">
        <v>200</v>
      </c>
      <c r="B6">
        <v>76.3533183545767</v>
      </c>
      <c r="C6" s="1">
        <f t="shared" si="0"/>
        <v>40000</v>
      </c>
      <c r="F6" s="1">
        <v>200</v>
      </c>
      <c r="G6">
        <v>91.434313964490798</v>
      </c>
      <c r="H6" s="1">
        <f t="shared" si="1"/>
        <v>40000</v>
      </c>
    </row>
    <row r="7" spans="1:8" x14ac:dyDescent="0.4">
      <c r="A7" s="1">
        <v>300</v>
      </c>
      <c r="B7">
        <v>84.273969172477706</v>
      </c>
      <c r="C7" s="1">
        <f t="shared" si="0"/>
        <v>90000</v>
      </c>
      <c r="F7" s="1">
        <v>300</v>
      </c>
      <c r="G7">
        <v>88.034653907000404</v>
      </c>
      <c r="H7" s="1">
        <f t="shared" si="1"/>
        <v>90000</v>
      </c>
    </row>
    <row r="8" spans="1:8" x14ac:dyDescent="0.4">
      <c r="A8" s="1">
        <v>400</v>
      </c>
      <c r="B8">
        <v>75.459914185922798</v>
      </c>
      <c r="C8" s="1">
        <f t="shared" si="0"/>
        <v>160000</v>
      </c>
      <c r="F8" s="1">
        <v>400</v>
      </c>
      <c r="G8">
        <v>90.101934859887507</v>
      </c>
      <c r="H8" s="1">
        <f t="shared" si="1"/>
        <v>160000</v>
      </c>
    </row>
    <row r="9" spans="1:8" x14ac:dyDescent="0.4">
      <c r="A9" s="1">
        <v>500</v>
      </c>
      <c r="B9">
        <v>85.879239494010307</v>
      </c>
      <c r="C9" s="1">
        <f t="shared" si="0"/>
        <v>250000</v>
      </c>
      <c r="F9" s="1">
        <v>500</v>
      </c>
      <c r="G9">
        <v>89.822333166709001</v>
      </c>
      <c r="H9" s="1">
        <f t="shared" si="1"/>
        <v>250000</v>
      </c>
    </row>
    <row r="11" spans="1:8" x14ac:dyDescent="0.4">
      <c r="B11" s="1">
        <v>2019</v>
      </c>
      <c r="G11" s="1">
        <v>2021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B49CC-5EEC-44E0-BF7E-CD27EE1A1B6D}">
  <dimension ref="A1:G13"/>
  <sheetViews>
    <sheetView tabSelected="1" workbookViewId="0">
      <selection activeCell="D17" sqref="D17"/>
    </sheetView>
  </sheetViews>
  <sheetFormatPr defaultRowHeight="14.6" x14ac:dyDescent="0.4"/>
  <cols>
    <col min="1" max="1" width="12.84375" style="1" customWidth="1"/>
    <col min="2" max="2" width="17.53515625" style="1" customWidth="1"/>
    <col min="3" max="3" width="29.3046875" style="1" customWidth="1"/>
    <col min="4" max="4" width="16.23046875" style="1" customWidth="1"/>
    <col min="5" max="5" width="9.23046875" style="1"/>
    <col min="6" max="6" width="12.84375" style="1" customWidth="1"/>
    <col min="7" max="16384" width="9.23046875" style="1"/>
  </cols>
  <sheetData>
    <row r="1" spans="1:7" x14ac:dyDescent="0.4">
      <c r="A1" s="1" t="s">
        <v>3</v>
      </c>
      <c r="B1" s="1" t="s">
        <v>4</v>
      </c>
      <c r="C1" s="1" t="s">
        <v>5</v>
      </c>
      <c r="D1" s="1" t="s">
        <v>7</v>
      </c>
      <c r="E1" s="1" t="s">
        <v>0</v>
      </c>
      <c r="F1" s="1" t="s">
        <v>18</v>
      </c>
    </row>
    <row r="2" spans="1:7" x14ac:dyDescent="0.4">
      <c r="A2" s="1" t="s">
        <v>6</v>
      </c>
      <c r="B2" s="1">
        <v>46.014099999999999</v>
      </c>
      <c r="C2" s="1" t="s">
        <v>11</v>
      </c>
      <c r="D2" s="1">
        <v>2019</v>
      </c>
      <c r="E2" s="1">
        <v>250</v>
      </c>
      <c r="F2" s="1">
        <v>30</v>
      </c>
    </row>
    <row r="3" spans="1:7" x14ac:dyDescent="0.4">
      <c r="A3" s="2" t="s">
        <v>8</v>
      </c>
      <c r="B3" s="1">
        <v>40.61</v>
      </c>
      <c r="C3" s="1" t="s">
        <v>11</v>
      </c>
      <c r="D3" s="1">
        <v>2019</v>
      </c>
      <c r="E3" s="1">
        <v>250</v>
      </c>
      <c r="F3" s="1">
        <v>30</v>
      </c>
      <c r="G3" s="1" t="s">
        <v>9</v>
      </c>
    </row>
    <row r="4" spans="1:7" x14ac:dyDescent="0.4">
      <c r="A4" s="1" t="s">
        <v>10</v>
      </c>
      <c r="B4" s="1">
        <v>59.394599999999997</v>
      </c>
      <c r="C4" s="1" t="s">
        <v>11</v>
      </c>
      <c r="D4" s="1">
        <v>2019</v>
      </c>
      <c r="E4" s="1">
        <v>250</v>
      </c>
      <c r="F4" s="1">
        <v>30</v>
      </c>
      <c r="G4" s="1" t="s">
        <v>12</v>
      </c>
    </row>
    <row r="7" spans="1:7" x14ac:dyDescent="0.4">
      <c r="A7" s="1" t="s">
        <v>3</v>
      </c>
      <c r="B7" s="1" t="s">
        <v>4</v>
      </c>
      <c r="C7" s="1" t="s">
        <v>5</v>
      </c>
      <c r="D7" s="1" t="s">
        <v>7</v>
      </c>
      <c r="E7" s="1" t="s">
        <v>0</v>
      </c>
      <c r="F7" s="1" t="s">
        <v>18</v>
      </c>
    </row>
    <row r="8" spans="1:7" x14ac:dyDescent="0.4">
      <c r="A8" s="1" t="s">
        <v>6</v>
      </c>
      <c r="B8" s="1">
        <v>81.926299999999998</v>
      </c>
      <c r="C8" s="1" t="s">
        <v>13</v>
      </c>
      <c r="D8" s="1">
        <v>2021</v>
      </c>
      <c r="E8" s="1">
        <v>250</v>
      </c>
      <c r="F8" s="1">
        <v>30</v>
      </c>
    </row>
    <row r="9" spans="1:7" x14ac:dyDescent="0.4">
      <c r="A9" s="2" t="s">
        <v>8</v>
      </c>
      <c r="B9" s="1">
        <v>77.024199999999993</v>
      </c>
      <c r="C9" s="1" t="s">
        <v>14</v>
      </c>
      <c r="D9" s="1">
        <v>2021</v>
      </c>
      <c r="E9" s="1">
        <v>250</v>
      </c>
      <c r="F9" s="1">
        <v>30</v>
      </c>
      <c r="G9" s="1" t="s">
        <v>9</v>
      </c>
    </row>
    <row r="10" spans="1:7" x14ac:dyDescent="0.4">
      <c r="A10" s="1" t="s">
        <v>10</v>
      </c>
      <c r="B10" s="1">
        <v>93.453000000000003</v>
      </c>
      <c r="C10" s="1" t="s">
        <v>13</v>
      </c>
      <c r="D10" s="1">
        <v>2021</v>
      </c>
      <c r="E10" s="1">
        <v>250</v>
      </c>
      <c r="F10" s="1">
        <v>30</v>
      </c>
      <c r="G10" s="1" t="s">
        <v>12</v>
      </c>
    </row>
    <row r="11" spans="1:7" x14ac:dyDescent="0.4">
      <c r="A11" s="1" t="s">
        <v>15</v>
      </c>
      <c r="B11" s="1">
        <v>80.945099999999996</v>
      </c>
      <c r="C11" s="1" t="s">
        <v>13</v>
      </c>
      <c r="D11" s="1">
        <v>2021</v>
      </c>
      <c r="E11" s="1">
        <v>250</v>
      </c>
      <c r="F11" s="1">
        <v>30</v>
      </c>
    </row>
    <row r="12" spans="1:7" x14ac:dyDescent="0.4">
      <c r="A12" s="2" t="s">
        <v>16</v>
      </c>
      <c r="B12" s="1">
        <v>74.618799999999993</v>
      </c>
      <c r="C12" s="1" t="s">
        <v>14</v>
      </c>
      <c r="D12" s="1">
        <v>2021</v>
      </c>
      <c r="E12" s="1">
        <v>250</v>
      </c>
      <c r="F12" s="1">
        <v>30</v>
      </c>
    </row>
    <row r="13" spans="1:7" x14ac:dyDescent="0.4">
      <c r="A13" s="1" t="s">
        <v>17</v>
      </c>
      <c r="B13" s="1">
        <v>84.975499999999997</v>
      </c>
      <c r="C13" s="1" t="s">
        <v>13</v>
      </c>
      <c r="D13" s="1">
        <v>2021</v>
      </c>
      <c r="E13" s="1">
        <v>250</v>
      </c>
      <c r="F13" s="1">
        <v>30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912a5d77-fb98-4eee-af32-1334d8f04a53}" enabled="0" method="" siteId="{912a5d77-fb98-4eee-af32-1334d8f04a5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numberM</vt:lpstr>
      <vt:lpstr>%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Rezaee, Mohsen</dc:creator>
  <cp:lastModifiedBy>Rezaee, Mohsen</cp:lastModifiedBy>
  <dcterms:created xsi:type="dcterms:W3CDTF">2015-06-05T18:17:20Z</dcterms:created>
  <dcterms:modified xsi:type="dcterms:W3CDTF">2026-08-03T11:35:10Z</dcterms:modified>
</cp:coreProperties>
</file>