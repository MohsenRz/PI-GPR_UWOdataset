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r861_exeter_ac_uk/Documents/Desktop/model_Faf/CSO_prediction/results/"/>
    </mc:Choice>
  </mc:AlternateContent>
  <xr:revisionPtr revIDLastSave="536" documentId="11_F25DC773A252ABDACC10484C319C55345ADE58ED" xr6:coauthVersionLast="47" xr6:coauthVersionMax="47" xr10:uidLastSave="{01D55678-56D0-40E9-8EDD-75EBD8A35BE5}"/>
  <bookViews>
    <workbookView xWindow="-103" yWindow="-103" windowWidth="33120" windowHeight="18000" activeTab="1" xr2:uid="{00000000-000D-0000-FFFF-FFFF00000000}"/>
  </bookViews>
  <sheets>
    <sheet name="GPR-WWTP_Inflow" sheetId="1" r:id="rId1"/>
    <sheet name="GPR-CSO" sheetId="2" r:id="rId2"/>
    <sheet name="GPR-TankLeve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12" i="2"/>
  <c r="G13" i="2"/>
  <c r="G12" i="2"/>
  <c r="E13" i="2"/>
  <c r="E12" i="2"/>
  <c r="C13" i="2"/>
  <c r="C12" i="2"/>
  <c r="H13" i="2"/>
  <c r="F13" i="2"/>
  <c r="D13" i="2"/>
  <c r="B13" i="2"/>
  <c r="H12" i="2"/>
  <c r="F12" i="2"/>
  <c r="D12" i="2"/>
  <c r="B12" i="2"/>
  <c r="N14" i="1"/>
  <c r="N15" i="1"/>
  <c r="M14" i="1"/>
  <c r="M15" i="1"/>
  <c r="L14" i="1"/>
  <c r="L15" i="1"/>
  <c r="K14" i="1"/>
  <c r="K15" i="1"/>
  <c r="N13" i="1"/>
  <c r="N12" i="1"/>
  <c r="L13" i="1"/>
  <c r="L12" i="1"/>
  <c r="M13" i="1"/>
  <c r="K13" i="1"/>
  <c r="M12" i="1"/>
  <c r="K12" i="1"/>
  <c r="I12" i="1"/>
  <c r="G12" i="1"/>
  <c r="E12" i="1"/>
  <c r="C12" i="1"/>
  <c r="H12" i="1"/>
  <c r="F12" i="1"/>
  <c r="D12" i="1"/>
  <c r="B12" i="1"/>
</calcChain>
</file>

<file path=xl/sharedStrings.xml><?xml version="1.0" encoding="utf-8"?>
<sst xmlns="http://schemas.openxmlformats.org/spreadsheetml/2006/main" count="87" uniqueCount="29">
  <si>
    <t xml:space="preserve">model </t>
  </si>
  <si>
    <t>date</t>
  </si>
  <si>
    <t>Entropy</t>
  </si>
  <si>
    <t xml:space="preserve">naïve </t>
  </si>
  <si>
    <t>lag (min)</t>
  </si>
  <si>
    <t>Cov %</t>
  </si>
  <si>
    <t>RMSE (l/s)</t>
  </si>
  <si>
    <t>MAE (l/s)</t>
  </si>
  <si>
    <t>designed kernel</t>
  </si>
  <si>
    <t>mean</t>
  </si>
  <si>
    <t>1 to 12 hours</t>
  </si>
  <si>
    <t xml:space="preserve">1 to 8 hours </t>
  </si>
  <si>
    <t>constraints</t>
  </si>
  <si>
    <t>Sparsification</t>
  </si>
  <si>
    <t>SGPR_constraint</t>
  </si>
  <si>
    <t>Inducing points:</t>
  </si>
  <si>
    <t>execution time (s)</t>
  </si>
  <si>
    <t>% improvement of RMSE</t>
  </si>
  <si>
    <t>% improvement of Entropy</t>
  </si>
  <si>
    <t>SGPR_constraint_stratified</t>
  </si>
  <si>
    <t>train=90days</t>
  </si>
  <si>
    <t>train=180days</t>
  </si>
  <si>
    <t>train=90days-5min timesteps</t>
  </si>
  <si>
    <t>train=30days-5min timesteps</t>
  </si>
  <si>
    <t>kernel + mean - 5min timesteps</t>
  </si>
  <si>
    <t>RMSE (mm)</t>
  </si>
  <si>
    <t>MAE (mm)</t>
  </si>
  <si>
    <t>90days</t>
  </si>
  <si>
    <t xml:space="preserve">ordinary SGPR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</si>
</sst>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entaur"/>
      <family val="1"/>
    </font>
    <font>
      <sz val="14"/>
      <color theme="1"/>
      <name val="Centaur"/>
      <family val="1"/>
    </font>
    <font>
      <i/>
      <sz val="14"/>
      <color theme="1"/>
      <name val="Centaur"/>
      <family val="1"/>
    </font>
    <font>
      <b/>
      <sz val="14"/>
      <color rgb="FFFF0000"/>
      <name val="Centaur"/>
      <family val="1"/>
    </font>
    <font>
      <sz val="14"/>
      <color rgb="FFFF0000"/>
      <name val="Centaur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workbookViewId="0">
      <selection activeCell="K12" sqref="K12"/>
    </sheetView>
  </sheetViews>
  <sheetFormatPr defaultRowHeight="18.45" x14ac:dyDescent="0.4"/>
  <cols>
    <col min="1" max="1" width="18.3828125" style="1" customWidth="1"/>
    <col min="2" max="2" width="15.07421875" style="2" customWidth="1"/>
    <col min="3" max="3" width="16.69140625" style="2" customWidth="1"/>
    <col min="4" max="4" width="17.84375" style="2" customWidth="1"/>
    <col min="5" max="5" width="16.61328125" style="2" customWidth="1"/>
    <col min="6" max="7" width="15.765625" style="2" customWidth="1"/>
    <col min="8" max="8" width="14.23046875" style="2" customWidth="1"/>
    <col min="9" max="9" width="15" style="2" customWidth="1"/>
    <col min="10" max="10" width="17" style="2" customWidth="1"/>
    <col min="11" max="11" width="19.84375" style="2" customWidth="1"/>
    <col min="12" max="13" width="19.3046875" style="2" customWidth="1"/>
    <col min="14" max="14" width="18.4609375" style="2" customWidth="1"/>
    <col min="15" max="16384" width="9.23046875" style="2"/>
  </cols>
  <sheetData>
    <row r="1" spans="1:14" s="1" customFormat="1" x14ac:dyDescent="0.4">
      <c r="A1" s="1" t="s">
        <v>0</v>
      </c>
      <c r="B1" s="1" t="s">
        <v>3</v>
      </c>
      <c r="C1" s="1" t="s">
        <v>3</v>
      </c>
      <c r="D1" s="1" t="s">
        <v>8</v>
      </c>
      <c r="E1" s="1" t="s">
        <v>8</v>
      </c>
      <c r="F1" s="1" t="s">
        <v>9</v>
      </c>
      <c r="G1" s="1" t="s">
        <v>9</v>
      </c>
      <c r="H1" s="1" t="s">
        <v>12</v>
      </c>
      <c r="I1" s="1" t="s">
        <v>12</v>
      </c>
      <c r="J1" s="4" t="s">
        <v>13</v>
      </c>
      <c r="K1" s="1" t="s">
        <v>14</v>
      </c>
      <c r="L1" s="1" t="s">
        <v>14</v>
      </c>
      <c r="M1" s="1" t="s">
        <v>14</v>
      </c>
      <c r="N1" s="1" t="s">
        <v>14</v>
      </c>
    </row>
    <row r="2" spans="1:14" x14ac:dyDescent="0.4">
      <c r="A2" s="1" t="s">
        <v>1</v>
      </c>
      <c r="B2" s="3">
        <v>2019</v>
      </c>
      <c r="C2" s="3">
        <v>2021</v>
      </c>
      <c r="D2" s="3">
        <v>2019</v>
      </c>
      <c r="E2" s="3">
        <v>2021</v>
      </c>
      <c r="F2" s="3">
        <v>2019</v>
      </c>
      <c r="G2" s="3">
        <v>2021</v>
      </c>
      <c r="H2" s="3">
        <v>2019</v>
      </c>
      <c r="I2" s="3">
        <v>2021</v>
      </c>
      <c r="J2" s="3"/>
      <c r="K2" s="3">
        <v>2019</v>
      </c>
      <c r="L2" s="2">
        <v>2021</v>
      </c>
      <c r="M2" s="3">
        <v>2019</v>
      </c>
      <c r="N2" s="2">
        <v>2021</v>
      </c>
    </row>
    <row r="3" spans="1:14" x14ac:dyDescent="0.4">
      <c r="A3" s="1" t="s">
        <v>6</v>
      </c>
      <c r="B3" s="2">
        <v>34.298999999999999</v>
      </c>
      <c r="C3" s="2">
        <v>41.749000000000002</v>
      </c>
      <c r="D3" s="2">
        <v>25.812999999999999</v>
      </c>
      <c r="E3" s="2">
        <v>32.119999999999997</v>
      </c>
      <c r="F3" s="2">
        <v>25.654</v>
      </c>
      <c r="G3" s="2">
        <v>33.387999999999998</v>
      </c>
      <c r="H3" s="2">
        <v>25.568000000000001</v>
      </c>
      <c r="I3" s="2">
        <v>29.975000000000001</v>
      </c>
      <c r="K3" s="2">
        <v>25.905000000000001</v>
      </c>
      <c r="L3" s="2">
        <v>31.143000000000001</v>
      </c>
      <c r="M3" s="2">
        <v>25.712</v>
      </c>
      <c r="N3" s="2">
        <v>31.068999999999999</v>
      </c>
    </row>
    <row r="4" spans="1:14" x14ac:dyDescent="0.4">
      <c r="A4" s="1" t="s">
        <v>7</v>
      </c>
      <c r="B4" s="2">
        <v>24.901</v>
      </c>
      <c r="C4" s="2">
        <v>27.161000000000001</v>
      </c>
      <c r="D4" s="2">
        <v>17.396999999999998</v>
      </c>
      <c r="E4" s="2">
        <v>20.096</v>
      </c>
      <c r="F4" s="2">
        <v>17.672000000000001</v>
      </c>
      <c r="G4" s="2">
        <v>19.23</v>
      </c>
      <c r="H4" s="2">
        <v>17.63</v>
      </c>
      <c r="I4" s="2">
        <v>18.036999999999999</v>
      </c>
      <c r="K4" s="2">
        <v>17.88</v>
      </c>
      <c r="L4" s="2">
        <v>17.771999999999998</v>
      </c>
      <c r="M4" s="2">
        <v>17.704999999999998</v>
      </c>
      <c r="N4" s="2">
        <v>23.721</v>
      </c>
    </row>
    <row r="5" spans="1:14" x14ac:dyDescent="0.4">
      <c r="A5" s="1" t="s">
        <v>5</v>
      </c>
      <c r="B5" s="2">
        <v>99.17</v>
      </c>
      <c r="C5" s="2">
        <v>100</v>
      </c>
      <c r="D5" s="2">
        <v>92.516000000000005</v>
      </c>
      <c r="E5" s="2">
        <v>88.15</v>
      </c>
      <c r="F5" s="2">
        <v>93.346999999999994</v>
      </c>
      <c r="G5" s="2">
        <v>88.15</v>
      </c>
      <c r="H5" s="2">
        <v>92.93</v>
      </c>
      <c r="I5" s="2">
        <v>87.94</v>
      </c>
      <c r="K5" s="2">
        <v>94.59</v>
      </c>
      <c r="L5" s="2">
        <v>87.11</v>
      </c>
      <c r="M5" s="2">
        <v>96.67</v>
      </c>
      <c r="N5" s="2">
        <v>94.8</v>
      </c>
    </row>
    <row r="6" spans="1:14" x14ac:dyDescent="0.4">
      <c r="A6" s="1" t="s">
        <v>2</v>
      </c>
      <c r="B6" s="2">
        <v>7.6116000000000001</v>
      </c>
      <c r="C6" s="2">
        <v>8.0631000000000004</v>
      </c>
      <c r="D6" s="2">
        <v>6.5944000000000003</v>
      </c>
      <c r="E6" s="2">
        <v>6.2887000000000004</v>
      </c>
      <c r="F6" s="2">
        <v>6.6723999999999997</v>
      </c>
      <c r="G6" s="2">
        <v>6.2664</v>
      </c>
      <c r="H6" s="2">
        <v>6.6215000000000002</v>
      </c>
      <c r="I6" s="2">
        <v>6.1558999999999999</v>
      </c>
      <c r="K6" s="2">
        <v>6.78</v>
      </c>
      <c r="L6" s="2">
        <v>6.2442000000000002</v>
      </c>
      <c r="M6" s="2">
        <v>7.2089999999999996</v>
      </c>
      <c r="N6" s="2">
        <v>7.2149999999999999</v>
      </c>
    </row>
    <row r="8" spans="1:14" x14ac:dyDescent="0.4">
      <c r="A8" s="1" t="s">
        <v>4</v>
      </c>
      <c r="B8" s="2">
        <v>120</v>
      </c>
      <c r="C8" s="2">
        <v>120</v>
      </c>
      <c r="D8" s="2">
        <v>120</v>
      </c>
      <c r="E8" s="2">
        <v>120</v>
      </c>
      <c r="F8" s="2">
        <v>120</v>
      </c>
      <c r="G8" s="2">
        <v>120</v>
      </c>
      <c r="H8" s="2">
        <v>120</v>
      </c>
      <c r="I8" s="2">
        <v>120</v>
      </c>
      <c r="J8" s="5" t="s">
        <v>15</v>
      </c>
      <c r="K8" s="3">
        <v>100</v>
      </c>
      <c r="L8" s="3">
        <v>100</v>
      </c>
      <c r="M8" s="3">
        <v>500</v>
      </c>
      <c r="N8" s="3">
        <v>500</v>
      </c>
    </row>
    <row r="9" spans="1:14" x14ac:dyDescent="0.4">
      <c r="A9" s="5" t="s">
        <v>16</v>
      </c>
      <c r="H9" s="2">
        <v>220</v>
      </c>
      <c r="I9" s="2">
        <v>246</v>
      </c>
      <c r="J9" s="5" t="s">
        <v>16</v>
      </c>
      <c r="K9" s="2">
        <v>18</v>
      </c>
      <c r="L9" s="2">
        <v>22</v>
      </c>
      <c r="M9" s="2">
        <v>268</v>
      </c>
      <c r="N9" s="2">
        <v>319</v>
      </c>
    </row>
    <row r="10" spans="1:14" x14ac:dyDescent="0.4">
      <c r="F10" s="2" t="s">
        <v>10</v>
      </c>
      <c r="G10" s="2" t="s">
        <v>11</v>
      </c>
      <c r="H10" s="2" t="s">
        <v>10</v>
      </c>
      <c r="I10" s="2" t="s">
        <v>11</v>
      </c>
    </row>
    <row r="12" spans="1:14" ht="36.9" x14ac:dyDescent="0.4">
      <c r="A12" s="6" t="s">
        <v>17</v>
      </c>
      <c r="B12" s="2">
        <f>-100*(B3 - $B3)/$B3</f>
        <v>0</v>
      </c>
      <c r="C12" s="2">
        <f>-100*(C3 - $C3)/$C3</f>
        <v>0</v>
      </c>
      <c r="D12" s="2">
        <f>-100*(D3 - $B3)/$B3</f>
        <v>24.741246100469404</v>
      </c>
      <c r="E12" s="2">
        <f>-100*(E3 - $C3)/$C3</f>
        <v>23.064025485640386</v>
      </c>
      <c r="F12" s="2">
        <f>-100*(F3 - $B3)/$B3</f>
        <v>25.204816466952391</v>
      </c>
      <c r="G12" s="2">
        <f>-100*(G3 - $C3)/$C3</f>
        <v>20.026826989868027</v>
      </c>
      <c r="H12" s="2">
        <f>-100*(H3 - $B3)/$B3</f>
        <v>25.455552640018652</v>
      </c>
      <c r="I12" s="2">
        <f>-100*(I3 - $C3)/$C3</f>
        <v>28.201873098756856</v>
      </c>
      <c r="K12" s="2">
        <f>-100*(K3 - $H3)/$H3</f>
        <v>-1.3180538172715883</v>
      </c>
      <c r="L12" s="2">
        <f>-100*(L3 - $I3)/$I3</f>
        <v>-3.8965804837364444</v>
      </c>
      <c r="M12" s="2">
        <f>-100*(M3 - $H3)/$H3</f>
        <v>-0.56320400500625134</v>
      </c>
      <c r="N12" s="2">
        <f>-100*(N3 - $I3)/$I3</f>
        <v>-3.6497080900750545</v>
      </c>
    </row>
    <row r="13" spans="1:14" x14ac:dyDescent="0.4">
      <c r="K13" s="2">
        <f>-100*(K4 - $H4)/$H4</f>
        <v>-1.4180374361883155</v>
      </c>
      <c r="L13" s="2">
        <f>-100*(L4 - $I4)/$I4</f>
        <v>1.4692021954870575</v>
      </c>
      <c r="M13" s="2">
        <f>-100*(M4 - $H4)/$H4</f>
        <v>-0.42541123085649063</v>
      </c>
      <c r="N13" s="2">
        <f>-100*(N4 - $I4)/$I4</f>
        <v>-31.513001053390258</v>
      </c>
    </row>
    <row r="14" spans="1:14" x14ac:dyDescent="0.4">
      <c r="K14" s="2">
        <f t="shared" ref="K14:K15" si="0">-100*(K5 - $H5)/$H5</f>
        <v>-1.7862907564833708</v>
      </c>
      <c r="L14" s="2">
        <f t="shared" ref="L14:L15" si="1">-100*(L5 - $I5)/$I5</f>
        <v>0.94382533545599079</v>
      </c>
      <c r="M14" s="2">
        <f t="shared" ref="M14:M15" si="2">-100*(M5 - $H5)/$H5</f>
        <v>-4.0245345959324164</v>
      </c>
      <c r="N14" s="2">
        <f t="shared" ref="N14:N15" si="3">-100*(N5 - $I5)/$I5</f>
        <v>-7.8007732544916992</v>
      </c>
    </row>
    <row r="15" spans="1:14" x14ac:dyDescent="0.4">
      <c r="K15" s="2">
        <f t="shared" si="0"/>
        <v>-2.3937174356263697</v>
      </c>
      <c r="L15" s="2">
        <f t="shared" si="1"/>
        <v>-1.4343962702448101</v>
      </c>
      <c r="M15" s="2">
        <f t="shared" si="2"/>
        <v>-8.8726119459336914</v>
      </c>
      <c r="N15" s="2">
        <f t="shared" si="3"/>
        <v>-17.204632953751684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3AD0-BD79-4D6A-B13C-DB02488FEFDA}">
  <dimension ref="A1:W13"/>
  <sheetViews>
    <sheetView tabSelected="1" topLeftCell="B1" workbookViewId="0">
      <selection activeCell="M12" sqref="M12:M13"/>
    </sheetView>
  </sheetViews>
  <sheetFormatPr defaultRowHeight="18.45" x14ac:dyDescent="0.4"/>
  <cols>
    <col min="1" max="1" width="18.3828125" style="1" customWidth="1"/>
    <col min="2" max="2" width="13.4609375" style="2" customWidth="1"/>
    <col min="3" max="3" width="14.765625" style="2" customWidth="1"/>
    <col min="4" max="4" width="15.15234375" style="2" customWidth="1"/>
    <col min="5" max="5" width="13.3828125" style="2" customWidth="1"/>
    <col min="6" max="6" width="13.07421875" style="2" customWidth="1"/>
    <col min="7" max="7" width="13.3828125" style="2" customWidth="1"/>
    <col min="8" max="8" width="12.07421875" style="2" customWidth="1"/>
    <col min="9" max="9" width="12.15234375" style="2" customWidth="1"/>
    <col min="10" max="10" width="17" style="2" customWidth="1"/>
    <col min="11" max="11" width="15.3828125" style="2" customWidth="1"/>
    <col min="12" max="12" width="15.3046875" style="2" customWidth="1"/>
    <col min="13" max="13" width="15.69140625" style="2" customWidth="1"/>
    <col min="14" max="14" width="15.53515625" style="2" customWidth="1"/>
    <col min="15" max="15" width="11.3828125" style="2" customWidth="1"/>
    <col min="16" max="16" width="15" style="2" customWidth="1"/>
    <col min="17" max="17" width="10.53515625" style="2" customWidth="1"/>
    <col min="18" max="18" width="12.23046875" style="2" customWidth="1"/>
    <col min="19" max="19" width="11.69140625" style="2" customWidth="1"/>
    <col min="20" max="20" width="11.921875" style="2" customWidth="1"/>
    <col min="21" max="16384" width="9.23046875" style="2"/>
  </cols>
  <sheetData>
    <row r="1" spans="1:23" s="8" customFormat="1" ht="46.3" customHeight="1" x14ac:dyDescent="0.4">
      <c r="A1" s="8" t="s">
        <v>0</v>
      </c>
      <c r="B1" s="8" t="s">
        <v>3</v>
      </c>
      <c r="C1" s="8" t="s">
        <v>3</v>
      </c>
      <c r="D1" s="8" t="s">
        <v>8</v>
      </c>
      <c r="E1" s="8" t="s">
        <v>8</v>
      </c>
      <c r="F1" s="8" t="s">
        <v>9</v>
      </c>
      <c r="G1" s="8" t="s">
        <v>9</v>
      </c>
      <c r="H1" s="8" t="s">
        <v>12</v>
      </c>
      <c r="I1" s="8" t="s">
        <v>12</v>
      </c>
      <c r="J1" s="9" t="s">
        <v>13</v>
      </c>
      <c r="K1" s="8" t="s">
        <v>19</v>
      </c>
      <c r="L1" s="8" t="s">
        <v>19</v>
      </c>
      <c r="M1" s="8" t="s">
        <v>19</v>
      </c>
      <c r="N1" s="8" t="s">
        <v>19</v>
      </c>
      <c r="O1" s="8" t="s">
        <v>20</v>
      </c>
      <c r="P1" s="8" t="s">
        <v>20</v>
      </c>
      <c r="Q1" s="8" t="s">
        <v>22</v>
      </c>
      <c r="R1" s="8" t="s">
        <v>21</v>
      </c>
      <c r="S1" s="8" t="s">
        <v>23</v>
      </c>
      <c r="T1" s="8" t="s">
        <v>23</v>
      </c>
      <c r="U1" s="8" t="s">
        <v>24</v>
      </c>
      <c r="V1" s="8" t="s">
        <v>24</v>
      </c>
      <c r="W1" s="8" t="s">
        <v>28</v>
      </c>
    </row>
    <row r="2" spans="1:23" x14ac:dyDescent="0.4">
      <c r="A2" s="1" t="s">
        <v>1</v>
      </c>
      <c r="B2" s="3">
        <v>2019</v>
      </c>
      <c r="C2" s="3">
        <v>2021</v>
      </c>
      <c r="D2" s="3">
        <v>2019</v>
      </c>
      <c r="E2" s="3">
        <v>2021</v>
      </c>
      <c r="F2" s="3">
        <v>2019</v>
      </c>
      <c r="G2" s="3">
        <v>2021</v>
      </c>
      <c r="H2" s="3">
        <v>2019</v>
      </c>
      <c r="I2" s="11">
        <v>2021</v>
      </c>
      <c r="J2" s="3"/>
      <c r="K2" s="3">
        <v>2019</v>
      </c>
      <c r="L2" s="2">
        <v>2021</v>
      </c>
      <c r="M2" s="3">
        <v>2019</v>
      </c>
      <c r="N2" s="10">
        <v>2021</v>
      </c>
      <c r="O2" s="3">
        <v>2019</v>
      </c>
      <c r="P2" s="10">
        <v>2021</v>
      </c>
      <c r="Q2" s="3">
        <v>2019</v>
      </c>
      <c r="R2" s="2">
        <v>2021</v>
      </c>
      <c r="S2" s="2">
        <v>2019</v>
      </c>
      <c r="T2" s="2">
        <v>2021</v>
      </c>
      <c r="U2" s="2">
        <v>2019</v>
      </c>
      <c r="V2" s="2">
        <v>2021</v>
      </c>
      <c r="W2" s="2">
        <v>2021</v>
      </c>
    </row>
    <row r="3" spans="1:23" x14ac:dyDescent="0.4">
      <c r="A3" s="1" t="s">
        <v>6</v>
      </c>
      <c r="B3" s="2">
        <v>127.08</v>
      </c>
      <c r="C3" s="2">
        <v>102.62</v>
      </c>
      <c r="D3" s="2">
        <v>24.81</v>
      </c>
      <c r="E3" s="2">
        <v>127.67</v>
      </c>
      <c r="F3" s="2">
        <v>24.85</v>
      </c>
      <c r="G3" s="2">
        <v>104.25</v>
      </c>
      <c r="H3" s="2">
        <v>40.369999999999997</v>
      </c>
      <c r="I3" s="10">
        <v>95.79</v>
      </c>
      <c r="K3" s="2">
        <v>57.5</v>
      </c>
      <c r="L3" s="2">
        <v>90.98</v>
      </c>
      <c r="M3" s="2">
        <v>53.69</v>
      </c>
      <c r="N3" s="10">
        <v>89.31</v>
      </c>
      <c r="O3" s="2">
        <v>62.55</v>
      </c>
      <c r="P3" s="10">
        <v>74.02</v>
      </c>
      <c r="R3" s="2">
        <v>124.4</v>
      </c>
      <c r="S3" s="2">
        <v>81.650000000000006</v>
      </c>
      <c r="T3" s="2">
        <v>90.58</v>
      </c>
      <c r="U3" s="2">
        <v>72.48</v>
      </c>
      <c r="V3" s="2">
        <v>90.83</v>
      </c>
      <c r="W3" s="2">
        <v>93.44</v>
      </c>
    </row>
    <row r="4" spans="1:23" x14ac:dyDescent="0.4">
      <c r="A4" s="1" t="s">
        <v>7</v>
      </c>
      <c r="B4" s="2">
        <v>63.54</v>
      </c>
      <c r="C4" s="2">
        <v>21.12</v>
      </c>
      <c r="D4" s="2">
        <v>6.82</v>
      </c>
      <c r="E4" s="2">
        <v>40.630000000000003</v>
      </c>
      <c r="F4" s="2">
        <v>6.84</v>
      </c>
      <c r="G4" s="2">
        <v>31.8</v>
      </c>
      <c r="H4" s="2">
        <v>28.85</v>
      </c>
      <c r="I4" s="10">
        <v>42.81</v>
      </c>
      <c r="K4" s="2">
        <v>55.13</v>
      </c>
      <c r="L4" s="2">
        <v>50.07</v>
      </c>
      <c r="M4" s="2">
        <v>51.04</v>
      </c>
      <c r="N4" s="10">
        <v>44.41</v>
      </c>
      <c r="O4" s="2">
        <v>56.74</v>
      </c>
      <c r="P4" s="10">
        <v>34.869999999999997</v>
      </c>
      <c r="R4" s="2">
        <v>102.98</v>
      </c>
      <c r="S4" s="2">
        <v>77.19</v>
      </c>
      <c r="T4" s="2">
        <v>45.43</v>
      </c>
      <c r="U4" s="2">
        <v>66.58</v>
      </c>
      <c r="V4" s="2">
        <v>41.68</v>
      </c>
      <c r="W4" s="2">
        <v>45.95</v>
      </c>
    </row>
    <row r="5" spans="1:23" x14ac:dyDescent="0.4">
      <c r="A5" s="1" t="s">
        <v>5</v>
      </c>
      <c r="B5" s="2">
        <v>100</v>
      </c>
      <c r="C5" s="2">
        <v>100</v>
      </c>
      <c r="D5" s="2">
        <v>99.2</v>
      </c>
      <c r="E5" s="2">
        <v>92.7</v>
      </c>
      <c r="F5" s="2">
        <v>99.2</v>
      </c>
      <c r="G5" s="2">
        <v>87.3</v>
      </c>
      <c r="H5" s="2">
        <v>98.7</v>
      </c>
      <c r="I5" s="10">
        <v>91.5</v>
      </c>
      <c r="K5" s="2">
        <v>98.3</v>
      </c>
      <c r="L5" s="2">
        <v>80.5</v>
      </c>
      <c r="M5" s="2">
        <v>98.1</v>
      </c>
      <c r="N5" s="10">
        <v>79.2</v>
      </c>
      <c r="O5" s="2">
        <v>93.3</v>
      </c>
      <c r="P5" s="10">
        <v>79.2</v>
      </c>
      <c r="R5" s="2">
        <v>80.5</v>
      </c>
      <c r="S5" s="2">
        <v>49.3</v>
      </c>
      <c r="T5" s="2">
        <v>79.3</v>
      </c>
      <c r="U5" s="2">
        <v>94.2</v>
      </c>
      <c r="V5" s="2">
        <v>80.3</v>
      </c>
      <c r="W5" s="2">
        <v>83.48</v>
      </c>
    </row>
    <row r="6" spans="1:23" x14ac:dyDescent="0.4">
      <c r="A6" s="1" t="s">
        <v>2</v>
      </c>
      <c r="B6" s="2">
        <v>12.535</v>
      </c>
      <c r="C6" s="2">
        <v>9.77</v>
      </c>
      <c r="D6" s="2">
        <v>6.9359999999999999</v>
      </c>
      <c r="E6" s="2">
        <v>6.6749999999999998</v>
      </c>
      <c r="F6" s="2">
        <v>6.9370000000000003</v>
      </c>
      <c r="G6" s="2">
        <v>6.0129999999999999</v>
      </c>
      <c r="H6" s="2">
        <v>6.2030000000000003</v>
      </c>
      <c r="I6" s="10">
        <v>5.423</v>
      </c>
      <c r="K6" s="2">
        <v>7.1710000000000003</v>
      </c>
      <c r="L6" s="2">
        <v>6.4939999999999998</v>
      </c>
      <c r="M6" s="2">
        <v>7.0730000000000004</v>
      </c>
      <c r="N6" s="10">
        <v>5.9009999999999998</v>
      </c>
      <c r="O6" s="2">
        <v>7.12</v>
      </c>
      <c r="P6" s="10">
        <v>5.27</v>
      </c>
      <c r="R6" s="2">
        <v>7.734</v>
      </c>
      <c r="S6" s="2">
        <v>7.31</v>
      </c>
      <c r="T6" s="2">
        <v>5.9119999999999999</v>
      </c>
      <c r="U6" s="2">
        <v>7.5060000000000002</v>
      </c>
      <c r="V6" s="2">
        <v>9.9610000000000003</v>
      </c>
      <c r="W6" s="2">
        <v>6.3659999999999997</v>
      </c>
    </row>
    <row r="8" spans="1:23" x14ac:dyDescent="0.4">
      <c r="A8" s="1" t="s">
        <v>4</v>
      </c>
      <c r="B8" s="2">
        <v>120</v>
      </c>
      <c r="C8" s="2">
        <v>90</v>
      </c>
      <c r="D8" s="2">
        <v>120</v>
      </c>
      <c r="E8" s="2">
        <v>90</v>
      </c>
      <c r="F8" s="2">
        <v>120</v>
      </c>
      <c r="G8" s="2">
        <v>90</v>
      </c>
      <c r="H8" s="2">
        <v>120</v>
      </c>
      <c r="I8" s="2">
        <v>90</v>
      </c>
      <c r="J8" s="5" t="s">
        <v>15</v>
      </c>
      <c r="K8" s="3">
        <v>100</v>
      </c>
      <c r="L8" s="3">
        <v>100</v>
      </c>
      <c r="M8" s="3">
        <v>250</v>
      </c>
      <c r="N8" s="3">
        <v>250</v>
      </c>
      <c r="O8" s="2">
        <v>250</v>
      </c>
      <c r="P8" s="2">
        <v>250</v>
      </c>
      <c r="Q8" s="2">
        <v>250</v>
      </c>
      <c r="R8" s="2">
        <v>250</v>
      </c>
      <c r="S8" s="2">
        <v>250</v>
      </c>
      <c r="T8" s="2">
        <v>250</v>
      </c>
      <c r="U8" s="2">
        <v>250</v>
      </c>
      <c r="V8" s="2">
        <v>250</v>
      </c>
      <c r="W8" s="2">
        <v>250</v>
      </c>
    </row>
    <row r="9" spans="1:23" x14ac:dyDescent="0.4">
      <c r="A9" s="5" t="s">
        <v>16</v>
      </c>
      <c r="B9" s="2">
        <v>270</v>
      </c>
      <c r="C9" s="2">
        <v>89</v>
      </c>
      <c r="D9" s="2">
        <v>302</v>
      </c>
      <c r="E9" s="2">
        <v>428</v>
      </c>
      <c r="F9" s="2">
        <v>324</v>
      </c>
      <c r="G9" s="2">
        <v>411</v>
      </c>
      <c r="H9" s="2">
        <v>309</v>
      </c>
      <c r="I9" s="2">
        <v>389</v>
      </c>
      <c r="J9" s="5" t="s">
        <v>16</v>
      </c>
      <c r="K9" s="2">
        <v>9</v>
      </c>
      <c r="L9" s="2">
        <v>12</v>
      </c>
      <c r="O9" s="2">
        <v>129</v>
      </c>
      <c r="P9" s="2">
        <v>92</v>
      </c>
      <c r="R9" s="2">
        <v>384</v>
      </c>
      <c r="T9" s="2">
        <v>57</v>
      </c>
      <c r="U9" s="2">
        <v>42</v>
      </c>
      <c r="V9" s="2">
        <v>61</v>
      </c>
      <c r="W9" s="2">
        <v>25</v>
      </c>
    </row>
    <row r="12" spans="1:23" ht="36.9" x14ac:dyDescent="0.4">
      <c r="A12" s="6" t="s">
        <v>17</v>
      </c>
      <c r="B12" s="7">
        <f>100*($B3-B3)/$B3</f>
        <v>0</v>
      </c>
      <c r="C12" s="7">
        <f>100*($C3-C3)/$C3</f>
        <v>0</v>
      </c>
      <c r="D12" s="7">
        <f>100*($B3-D3)/$B3</f>
        <v>80.476864966949961</v>
      </c>
      <c r="E12" s="7">
        <f>100*($C3-E3)/$C3</f>
        <v>-24.410446306762807</v>
      </c>
      <c r="F12" s="7">
        <f>100*($B3-F3)/$B3</f>
        <v>80.445388731507705</v>
      </c>
      <c r="G12" s="7">
        <f>100*($C3-G3)/$C3</f>
        <v>-1.5883843305398513</v>
      </c>
      <c r="H12" s="7">
        <f>100*($B3-H3)/$B3</f>
        <v>68.232609379918159</v>
      </c>
      <c r="I12" s="7">
        <f>100*($C3-I3)/$C3</f>
        <v>6.6556226856363256</v>
      </c>
    </row>
    <row r="13" spans="1:23" ht="36.9" x14ac:dyDescent="0.4">
      <c r="A13" s="6" t="s">
        <v>18</v>
      </c>
      <c r="B13" s="7">
        <f>100*($B6-B6)/$B6</f>
        <v>0</v>
      </c>
      <c r="C13" s="7">
        <f>100*($C6-C6)/$C6</f>
        <v>0</v>
      </c>
      <c r="D13" s="7">
        <f>100*($B6-D6)/$B6</f>
        <v>44.666932588751493</v>
      </c>
      <c r="E13" s="7">
        <f>100*($C6-E6)/$C6</f>
        <v>31.678607983623337</v>
      </c>
      <c r="F13" s="7">
        <f>100*($B6-F6)/$B6</f>
        <v>44.658954926206619</v>
      </c>
      <c r="G13" s="7">
        <f>100*($C6-G6)/$C6</f>
        <v>38.454452405322414</v>
      </c>
      <c r="H13" s="7">
        <f>100*($B6-H6)/$B6</f>
        <v>50.514559234144393</v>
      </c>
      <c r="I13" s="7">
        <f>100*($C6-I6)/$C6</f>
        <v>44.493346980552708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F9DC-786A-422E-A733-838ABD869A08}">
  <dimension ref="A1:Q13"/>
  <sheetViews>
    <sheetView workbookViewId="0">
      <selection activeCell="J14" sqref="J14"/>
    </sheetView>
  </sheetViews>
  <sheetFormatPr defaultRowHeight="18.45" x14ac:dyDescent="0.4"/>
  <cols>
    <col min="1" max="1" width="18.3828125" style="1" customWidth="1"/>
    <col min="2" max="2" width="13.4609375" style="2" customWidth="1"/>
    <col min="3" max="3" width="14.765625" style="2" customWidth="1"/>
    <col min="4" max="4" width="15.15234375" style="2" customWidth="1"/>
    <col min="5" max="5" width="13.3828125" style="2" customWidth="1"/>
    <col min="6" max="6" width="13.07421875" style="2" customWidth="1"/>
    <col min="7" max="7" width="13.3828125" style="2" customWidth="1"/>
    <col min="8" max="8" width="12.07421875" style="2" customWidth="1"/>
    <col min="9" max="9" width="12.15234375" style="2" customWidth="1"/>
    <col min="10" max="10" width="17" style="2" customWidth="1"/>
    <col min="11" max="11" width="15.3828125" style="2" customWidth="1"/>
    <col min="12" max="12" width="15.3046875" style="2" customWidth="1"/>
    <col min="13" max="13" width="15.69140625" style="2" customWidth="1"/>
    <col min="14" max="14" width="15.53515625" style="2" customWidth="1"/>
    <col min="15" max="15" width="11.3828125" style="2" customWidth="1"/>
    <col min="16" max="16" width="11" style="2" customWidth="1"/>
    <col min="17" max="17" width="10.53515625" style="2" customWidth="1"/>
    <col min="18" max="18" width="12.23046875" style="2" customWidth="1"/>
    <col min="19" max="19" width="11.69140625" style="2" customWidth="1"/>
    <col min="20" max="20" width="11.921875" style="2" customWidth="1"/>
    <col min="21" max="16384" width="9.23046875" style="2"/>
  </cols>
  <sheetData>
    <row r="1" spans="1:17" s="8" customFormat="1" ht="46.3" customHeight="1" x14ac:dyDescent="0.4">
      <c r="A1" s="8" t="s">
        <v>0</v>
      </c>
      <c r="B1" s="8" t="s">
        <v>3</v>
      </c>
      <c r="C1" s="8" t="s">
        <v>3</v>
      </c>
      <c r="D1" s="8" t="s">
        <v>8</v>
      </c>
      <c r="E1" s="8" t="s">
        <v>8</v>
      </c>
      <c r="F1" s="8" t="s">
        <v>9</v>
      </c>
      <c r="G1" s="8" t="s">
        <v>9</v>
      </c>
      <c r="H1" s="8" t="s">
        <v>12</v>
      </c>
      <c r="I1" s="8" t="s">
        <v>12</v>
      </c>
      <c r="J1" s="9" t="s">
        <v>13</v>
      </c>
      <c r="K1" s="8" t="s">
        <v>12</v>
      </c>
      <c r="L1" s="8" t="s">
        <v>12</v>
      </c>
      <c r="M1" s="8" t="s">
        <v>27</v>
      </c>
      <c r="N1" s="8" t="s">
        <v>27</v>
      </c>
    </row>
    <row r="2" spans="1:17" x14ac:dyDescent="0.4">
      <c r="A2" s="1" t="s">
        <v>1</v>
      </c>
      <c r="B2" s="3">
        <v>2019</v>
      </c>
      <c r="C2" s="3">
        <v>2021</v>
      </c>
      <c r="D2" s="3">
        <v>2019</v>
      </c>
      <c r="E2" s="3">
        <v>2021</v>
      </c>
      <c r="F2" s="3">
        <v>2019</v>
      </c>
      <c r="G2" s="3">
        <v>2021</v>
      </c>
      <c r="H2" s="3">
        <v>2019</v>
      </c>
      <c r="I2" s="3">
        <v>2021</v>
      </c>
      <c r="J2" s="3"/>
      <c r="K2" s="3">
        <v>2019</v>
      </c>
      <c r="L2" s="3">
        <v>2021</v>
      </c>
      <c r="M2" s="3">
        <v>2019</v>
      </c>
      <c r="N2" s="3">
        <v>2021</v>
      </c>
      <c r="O2" s="3"/>
      <c r="Q2" s="3"/>
    </row>
    <row r="3" spans="1:17" x14ac:dyDescent="0.4">
      <c r="A3" s="1" t="s">
        <v>25</v>
      </c>
      <c r="B3" s="2">
        <v>286.43</v>
      </c>
      <c r="C3" s="2">
        <v>784.6</v>
      </c>
      <c r="D3" s="2">
        <v>433.08</v>
      </c>
      <c r="E3" s="2">
        <v>776.01</v>
      </c>
      <c r="F3" s="2">
        <v>351.61</v>
      </c>
      <c r="G3" s="2">
        <v>690.57</v>
      </c>
      <c r="H3" s="2">
        <v>645.1</v>
      </c>
      <c r="I3" s="2">
        <v>705.15</v>
      </c>
      <c r="L3" s="2">
        <v>741.6</v>
      </c>
      <c r="N3" s="2">
        <v>717.7</v>
      </c>
    </row>
    <row r="4" spans="1:17" x14ac:dyDescent="0.4">
      <c r="A4" s="1" t="s">
        <v>26</v>
      </c>
      <c r="B4" s="2">
        <v>205.75</v>
      </c>
      <c r="C4" s="2">
        <v>380.04</v>
      </c>
      <c r="D4" s="2">
        <v>166.65</v>
      </c>
      <c r="E4" s="2">
        <v>319.23</v>
      </c>
      <c r="F4" s="2">
        <v>280.94</v>
      </c>
      <c r="G4" s="2">
        <v>305.75</v>
      </c>
      <c r="H4" s="2">
        <v>625.21</v>
      </c>
      <c r="I4" s="2">
        <v>536.07000000000005</v>
      </c>
      <c r="L4" s="2">
        <v>497.7</v>
      </c>
      <c r="N4" s="2">
        <v>463.6</v>
      </c>
    </row>
    <row r="5" spans="1:17" x14ac:dyDescent="0.4">
      <c r="A5" s="1" t="s">
        <v>5</v>
      </c>
      <c r="B5" s="2">
        <v>100</v>
      </c>
      <c r="C5" s="2">
        <v>91.5</v>
      </c>
      <c r="D5" s="2">
        <v>95.4</v>
      </c>
      <c r="E5" s="2">
        <v>94.18</v>
      </c>
      <c r="F5" s="2">
        <v>99.8</v>
      </c>
      <c r="G5" s="2">
        <v>94.2</v>
      </c>
      <c r="H5" s="2">
        <v>99.8</v>
      </c>
      <c r="I5" s="2">
        <v>93.8</v>
      </c>
      <c r="L5" s="2">
        <v>90.4</v>
      </c>
      <c r="N5" s="2">
        <v>90.4</v>
      </c>
    </row>
    <row r="6" spans="1:17" x14ac:dyDescent="0.4">
      <c r="A6" s="1" t="s">
        <v>2</v>
      </c>
      <c r="B6" s="2">
        <v>12.122999999999999</v>
      </c>
      <c r="C6" s="2">
        <v>11.904</v>
      </c>
      <c r="D6" s="2">
        <v>10.775</v>
      </c>
      <c r="E6" s="2">
        <v>10.45</v>
      </c>
      <c r="F6" s="2">
        <v>11.744</v>
      </c>
      <c r="G6" s="2">
        <v>11.388</v>
      </c>
      <c r="H6" s="2">
        <v>11.297000000000001</v>
      </c>
      <c r="I6" s="2">
        <v>10.923</v>
      </c>
      <c r="L6" s="2">
        <v>10.717000000000001</v>
      </c>
      <c r="N6" s="2">
        <v>10.66</v>
      </c>
    </row>
    <row r="8" spans="1:17" x14ac:dyDescent="0.4">
      <c r="A8" s="1" t="s">
        <v>4</v>
      </c>
      <c r="B8" s="2">
        <v>165</v>
      </c>
      <c r="C8" s="2">
        <v>165</v>
      </c>
      <c r="D8" s="2">
        <v>120</v>
      </c>
      <c r="E8" s="2">
        <v>120</v>
      </c>
      <c r="F8" s="2">
        <v>120</v>
      </c>
      <c r="G8" s="2">
        <v>120</v>
      </c>
      <c r="H8" s="2">
        <v>120</v>
      </c>
      <c r="I8" s="2">
        <v>120</v>
      </c>
      <c r="J8" s="5" t="s">
        <v>15</v>
      </c>
      <c r="K8" s="3"/>
      <c r="L8" s="3">
        <v>250</v>
      </c>
      <c r="M8" s="3"/>
      <c r="N8" s="3">
        <v>250</v>
      </c>
    </row>
    <row r="9" spans="1:17" x14ac:dyDescent="0.4">
      <c r="A9" s="5" t="s">
        <v>16</v>
      </c>
      <c r="B9" s="2">
        <v>73</v>
      </c>
      <c r="C9" s="2">
        <v>160</v>
      </c>
      <c r="D9" s="2">
        <v>100</v>
      </c>
      <c r="E9" s="2">
        <v>254</v>
      </c>
      <c r="H9" s="2">
        <v>268</v>
      </c>
      <c r="I9" s="2">
        <v>325</v>
      </c>
      <c r="J9" s="5" t="s">
        <v>16</v>
      </c>
      <c r="L9" s="2">
        <v>52</v>
      </c>
      <c r="N9" s="2">
        <v>13</v>
      </c>
    </row>
    <row r="12" spans="1:17" ht="36.9" x14ac:dyDescent="0.4">
      <c r="A12" s="6" t="s">
        <v>17</v>
      </c>
      <c r="B12" s="7"/>
      <c r="C12" s="7"/>
      <c r="D12" s="7"/>
      <c r="E12" s="7"/>
      <c r="F12" s="7"/>
      <c r="G12" s="7"/>
      <c r="H12" s="7"/>
      <c r="I12" s="7"/>
    </row>
    <row r="13" spans="1:17" ht="36.9" x14ac:dyDescent="0.4">
      <c r="A13" s="6" t="s">
        <v>18</v>
      </c>
      <c r="B13" s="7"/>
      <c r="C13" s="7"/>
      <c r="D13" s="7"/>
      <c r="E13" s="7"/>
      <c r="F13" s="7"/>
      <c r="G13" s="7"/>
      <c r="H13" s="7"/>
      <c r="I13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GPR-WWTP_Inflow</vt:lpstr>
      <vt:lpstr>GPR-CSO</vt:lpstr>
      <vt:lpstr>GPR-TankLevel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Rezaee, Mohsen</dc:creator>
  <cp:lastModifiedBy>Rezaee, Mohsen</cp:lastModifiedBy>
  <dcterms:created xsi:type="dcterms:W3CDTF">2015-06-05T18:17:20Z</dcterms:created>
  <dcterms:modified xsi:type="dcterms:W3CDTF">2026-05-27T13:30:58Z</dcterms:modified>
</cp:coreProperties>
</file>