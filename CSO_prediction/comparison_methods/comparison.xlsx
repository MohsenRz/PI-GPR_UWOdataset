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universityofexeteruk-my.sharepoint.com/personal/mr861_exeter_ac_uk/Documents/Desktop/model_Faf/CSO_prediction/comparison_methods/"/>
    </mc:Choice>
  </mc:AlternateContent>
  <xr:revisionPtr revIDLastSave="82" documentId="11_F25DC773A252ABDACC10484C319C55345ADE58ED" xr6:coauthVersionLast="47" xr6:coauthVersionMax="47" xr10:uidLastSave="{FFA5075F-C2FA-416D-AC90-15A39A29174D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" l="1"/>
  <c r="E7" i="1"/>
  <c r="E8" i="1"/>
  <c r="E9" i="1"/>
  <c r="E5" i="1"/>
  <c r="E4" i="1"/>
</calcChain>
</file>

<file path=xl/sharedStrings.xml><?xml version="1.0" encoding="utf-8"?>
<sst xmlns="http://schemas.openxmlformats.org/spreadsheetml/2006/main" count="25" uniqueCount="13">
  <si>
    <t xml:space="preserve">peak flow error </t>
  </si>
  <si>
    <t>model</t>
  </si>
  <si>
    <t>year</t>
  </si>
  <si>
    <t>max_pred</t>
  </si>
  <si>
    <t>max_observed</t>
  </si>
  <si>
    <t>LSTM</t>
  </si>
  <si>
    <t>XGBoost</t>
  </si>
  <si>
    <t>GPR (constrained)</t>
  </si>
  <si>
    <t>RMSE</t>
  </si>
  <si>
    <t>GPR (mean)</t>
  </si>
  <si>
    <t>GPR (kernel)</t>
  </si>
  <si>
    <t>GPR (naïve)</t>
  </si>
  <si>
    <t>Peak Error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</si>
</sst>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"/>
  <sheetViews>
    <sheetView tabSelected="1" workbookViewId="0">
      <selection activeCell="F11" sqref="F11"/>
    </sheetView>
  </sheetViews>
  <sheetFormatPr defaultColWidth="9.21875" defaultRowHeight="13.8" x14ac:dyDescent="0.3"/>
  <cols>
    <col min="1" max="1" width="25" style="2" customWidth="1"/>
    <col min="2" max="2" width="9.21875" style="1"/>
    <col min="3" max="3" width="13.44140625" style="1" customWidth="1"/>
    <col min="4" max="4" width="14.109375" style="1" customWidth="1"/>
    <col min="5" max="5" width="19.6640625" style="1" customWidth="1"/>
    <col min="6" max="8" width="9.21875" style="1"/>
    <col min="9" max="9" width="18.109375" style="2" customWidth="1"/>
    <col min="10" max="10" width="9.21875" style="1"/>
    <col min="11" max="12" width="13.6640625" style="1" customWidth="1"/>
    <col min="13" max="13" width="16.33203125" style="1" customWidth="1"/>
    <col min="14" max="16384" width="9.21875" style="1"/>
  </cols>
  <sheetData>
    <row r="1" spans="1:14" x14ac:dyDescent="0.3">
      <c r="A1" s="2" t="s">
        <v>0</v>
      </c>
    </row>
    <row r="3" spans="1:14" s="2" customFormat="1" x14ac:dyDescent="0.3">
      <c r="A3" s="2" t="s">
        <v>1</v>
      </c>
      <c r="B3" s="2" t="s">
        <v>2</v>
      </c>
      <c r="C3" s="2" t="s">
        <v>3</v>
      </c>
      <c r="D3" s="2" t="s">
        <v>4</v>
      </c>
      <c r="E3" s="2" t="s">
        <v>12</v>
      </c>
      <c r="F3" s="2" t="s">
        <v>8</v>
      </c>
      <c r="I3" s="2" t="s">
        <v>1</v>
      </c>
      <c r="J3" s="2" t="s">
        <v>2</v>
      </c>
      <c r="K3" s="2" t="s">
        <v>3</v>
      </c>
      <c r="L3" s="2" t="s">
        <v>4</v>
      </c>
      <c r="M3" s="2" t="s">
        <v>12</v>
      </c>
      <c r="N3" s="2" t="s">
        <v>8</v>
      </c>
    </row>
    <row r="4" spans="1:14" x14ac:dyDescent="0.3">
      <c r="A4" s="2" t="s">
        <v>5</v>
      </c>
      <c r="B4" s="1">
        <v>2021</v>
      </c>
      <c r="C4" s="1">
        <v>272.86599999999999</v>
      </c>
      <c r="D4" s="1">
        <v>939.63610000000006</v>
      </c>
      <c r="E4" s="1">
        <f>100*(D4-C4)/D4</f>
        <v>70.960460118550159</v>
      </c>
      <c r="F4" s="1">
        <v>77.816100000000006</v>
      </c>
      <c r="I4" s="2" t="s">
        <v>5</v>
      </c>
      <c r="J4" s="1">
        <v>2019</v>
      </c>
      <c r="K4" s="1">
        <v>125.3497</v>
      </c>
      <c r="L4" s="1">
        <v>0</v>
      </c>
      <c r="N4" s="1">
        <v>12.706799999999999</v>
      </c>
    </row>
    <row r="5" spans="1:14" x14ac:dyDescent="0.3">
      <c r="A5" s="2" t="s">
        <v>6</v>
      </c>
      <c r="B5" s="1">
        <v>2021</v>
      </c>
      <c r="C5" s="1">
        <v>502.95190000000002</v>
      </c>
      <c r="D5" s="1">
        <v>939.63610000000006</v>
      </c>
      <c r="E5" s="1">
        <f>100*(D5-C5)/D5</f>
        <v>46.473757234316565</v>
      </c>
      <c r="F5" s="1">
        <v>46.997300000000003</v>
      </c>
      <c r="I5" s="2" t="s">
        <v>6</v>
      </c>
      <c r="J5" s="1">
        <v>2019</v>
      </c>
      <c r="K5" s="1">
        <v>316.32420000000002</v>
      </c>
      <c r="L5" s="1">
        <v>0</v>
      </c>
      <c r="N5" s="1">
        <v>14.6439</v>
      </c>
    </row>
    <row r="6" spans="1:14" x14ac:dyDescent="0.3">
      <c r="A6" s="2" t="s">
        <v>7</v>
      </c>
      <c r="B6" s="1">
        <v>2021</v>
      </c>
      <c r="C6" s="1">
        <v>456.09710000000001</v>
      </c>
      <c r="D6" s="1">
        <v>939.63610000000006</v>
      </c>
      <c r="E6" s="1">
        <f t="shared" ref="E6:E9" si="0">100*(D6-C6)/D6</f>
        <v>51.46024083153042</v>
      </c>
      <c r="F6" s="1">
        <v>98.424999999999997</v>
      </c>
      <c r="I6" s="2" t="s">
        <v>7</v>
      </c>
      <c r="J6" s="1">
        <v>2019</v>
      </c>
      <c r="K6" s="1">
        <v>232.1156</v>
      </c>
      <c r="L6" s="1">
        <v>0</v>
      </c>
      <c r="N6" s="1">
        <v>40.370399999999997</v>
      </c>
    </row>
    <row r="7" spans="1:14" x14ac:dyDescent="0.3">
      <c r="A7" s="2" t="s">
        <v>9</v>
      </c>
      <c r="B7" s="1">
        <v>2021</v>
      </c>
      <c r="C7" s="1">
        <v>456.02859999999998</v>
      </c>
      <c r="D7" s="1">
        <v>939.63610000000006</v>
      </c>
      <c r="E7" s="1">
        <f t="shared" si="0"/>
        <v>51.46753088775538</v>
      </c>
      <c r="F7" s="1">
        <v>105.8365</v>
      </c>
      <c r="I7" s="2" t="s">
        <v>9</v>
      </c>
      <c r="J7" s="1">
        <v>2019</v>
      </c>
      <c r="K7" s="1">
        <v>229.93020000000001</v>
      </c>
      <c r="L7" s="1">
        <v>0</v>
      </c>
      <c r="N7" s="1">
        <v>24.8491</v>
      </c>
    </row>
    <row r="8" spans="1:14" x14ac:dyDescent="0.3">
      <c r="A8" s="2" t="s">
        <v>10</v>
      </c>
      <c r="B8" s="1">
        <v>2021</v>
      </c>
      <c r="C8" s="1">
        <v>451.20100000000002</v>
      </c>
      <c r="D8" s="1">
        <v>939.63610000000006</v>
      </c>
      <c r="E8" s="1">
        <f t="shared" si="0"/>
        <v>51.981304251720424</v>
      </c>
      <c r="F8" s="1">
        <v>105.7893</v>
      </c>
      <c r="I8" s="2" t="s">
        <v>10</v>
      </c>
      <c r="J8" s="1">
        <v>2019</v>
      </c>
      <c r="K8" s="1">
        <v>229.81219999999999</v>
      </c>
      <c r="L8" s="1">
        <v>0</v>
      </c>
      <c r="N8" s="1">
        <v>24.807500000000001</v>
      </c>
    </row>
    <row r="9" spans="1:14" x14ac:dyDescent="0.3">
      <c r="A9" s="2" t="s">
        <v>11</v>
      </c>
      <c r="B9" s="1">
        <v>2021</v>
      </c>
      <c r="C9" s="1">
        <v>0</v>
      </c>
      <c r="D9" s="1">
        <v>939.63610000000006</v>
      </c>
      <c r="E9" s="1">
        <f t="shared" si="0"/>
        <v>100</v>
      </c>
      <c r="F9" s="1">
        <v>102.62</v>
      </c>
      <c r="I9" s="2" t="s">
        <v>11</v>
      </c>
      <c r="J9" s="1">
        <v>2019</v>
      </c>
      <c r="K9" s="1">
        <v>0</v>
      </c>
      <c r="L9" s="1">
        <v>0</v>
      </c>
      <c r="N9" s="1">
        <v>127.08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12a5d77-fb98-4eee-af32-1334d8f04a53}" enabled="0" method="" siteId="{912a5d77-fb98-4eee-af32-1334d8f04a5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Rezaee, Mohsen</dc:creator>
  <cp:lastModifiedBy>Rezaee, Mohsen</cp:lastModifiedBy>
  <dcterms:created xsi:type="dcterms:W3CDTF">2015-06-05T18:17:20Z</dcterms:created>
  <dcterms:modified xsi:type="dcterms:W3CDTF">2026-08-03T20:41:25Z</dcterms:modified>
</cp:coreProperties>
</file>